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0148577c57a3cfa/FINANCE/Financas CONTABILIDADE/ANO 2025/"/>
    </mc:Choice>
  </mc:AlternateContent>
  <xr:revisionPtr revIDLastSave="17628" documentId="6_{A6AF9388-9AAC-4D84-A620-50159C24F2B6}" xr6:coauthVersionLast="47" xr6:coauthVersionMax="47" xr10:uidLastSave="{212E41DD-9241-42F0-A692-8920E9147D47}"/>
  <bookViews>
    <workbookView xWindow="-98" yWindow="-98" windowWidth="28996" windowHeight="15675" tabRatio="756" xr2:uid="{00000000-000D-0000-FFFF-FFFF00000000}"/>
  </bookViews>
  <sheets>
    <sheet name="VALORES MENSAIS" sheetId="8" r:id="rId1"/>
    <sheet name="MOVIMENTACOES MENSAIS" sheetId="24" r:id="rId2"/>
    <sheet name="HORA VERDADE" sheetId="30" r:id="rId3"/>
    <sheet name="Feuil2" sheetId="32" r:id="rId4"/>
    <sheet name="GRAFICO HV" sheetId="31" r:id="rId5"/>
    <sheet name="VARIACAO PATRIMONIAL" sheetId="25" r:id="rId6"/>
    <sheet name="BTG CDB PLUS" sheetId="29" r:id="rId7"/>
    <sheet name="HISTORICO " sheetId="26" r:id="rId8"/>
    <sheet name="HISTORICO APLICACOES" sheetId="28" r:id="rId9"/>
    <sheet name="DADOS FORMULARIO" sheetId="20" r:id="rId10"/>
    <sheet name="DISTRIBUICAO_MERCADOS" sheetId="12" r:id="rId11"/>
    <sheet name="DISTRIBUICAO_MODALIDADES" sheetId="13" r:id="rId12"/>
    <sheet name="VENCIMENTOS" sheetId="15" r:id="rId13"/>
    <sheet name="NOTAS CORRETAGEM" sheetId="17" r:id="rId14"/>
    <sheet name="MOVIMENTACAO_ACOES" sheetId="18" r:id="rId15"/>
  </sheets>
  <functionGroups builtInGroupCount="19"/>
  <externalReferences>
    <externalReference r:id="rId16"/>
    <externalReference r:id="rId17"/>
    <externalReference r:id="rId18"/>
  </externalReferences>
  <definedNames>
    <definedName name="_31_dez_20" localSheetId="8">'HISTORICO APLICACOES'!#REF!</definedName>
    <definedName name="_xlnm._FilterDatabase" localSheetId="8" hidden="1">'HISTORICO APLICACOES'!$A$1:$AM$4</definedName>
    <definedName name="_xlnm._FilterDatabase" localSheetId="2" hidden="1">'HORA VERDADE'!$A$1:$E$46</definedName>
    <definedName name="_xlnm._FilterDatabase" localSheetId="14" hidden="1">MOVIMENTACAO_ACOES!$A$1:$O$1</definedName>
    <definedName name="_xlnm._FilterDatabase" localSheetId="1" hidden="1">'MOVIMENTACOES MENSAIS'!$A$1:$AM$44</definedName>
    <definedName name="_xlnm._FilterDatabase" localSheetId="0" hidden="1">'VALORES MENSAIS'!$A$1:$AD$1</definedName>
    <definedName name="ANGLE" localSheetId="6">#REF!</definedName>
    <definedName name="ANGLE" localSheetId="7">#REF!</definedName>
    <definedName name="ANGLE" localSheetId="8">#REF!</definedName>
    <definedName name="ANGLE" localSheetId="1">#REF!</definedName>
    <definedName name="ANGLE" localSheetId="5">#REF!</definedName>
    <definedName name="ANGLE">#REF!</definedName>
    <definedName name="BudgetName" localSheetId="6">#REF!</definedName>
    <definedName name="BudgetName" localSheetId="7">#REF!</definedName>
    <definedName name="BudgetName" localSheetId="8">#REF!</definedName>
    <definedName name="BudgetName" localSheetId="1">#REF!</definedName>
    <definedName name="BudgetName" localSheetId="5">#REF!</definedName>
    <definedName name="BudgetName">#REF!</definedName>
    <definedName name="categorias_despesas_exibidas" localSheetId="6">OFFSET('BTG CDB PLUS'!StartCell,15-[0]!displayed_expense_categories_count+1,,[0]!displayed_expense_categories_count)</definedName>
    <definedName name="categorias_despesas_exibidas" localSheetId="7">OFFSET('HISTORICO '!StartCell,15-displayed_expense_categories_count+1,,displayed_expense_categories_count)</definedName>
    <definedName name="categorias_despesas_exibidas" localSheetId="8">OFFSET(StartCell,15-displayed_expense_categories_count+1,,displayed_expense_categories_count)</definedName>
    <definedName name="categorias_despesas_exibidas" localSheetId="5">OFFSET('VARIACAO PATRIMONIAL'!StartCell,15-displayed_expense_categories_count+1,,displayed_expense_categories_count)</definedName>
    <definedName name="categorias_despesas_exibidas">OFFSET(StartCell,15-displayed_expense_categories_count+1,,displayed_expense_categories_count)</definedName>
    <definedName name="Catégories_liste" localSheetId="6">#REF!</definedName>
    <definedName name="Catégories_liste" localSheetId="7">#REF!</definedName>
    <definedName name="Catégories_liste" localSheetId="8">#REF!</definedName>
    <definedName name="Catégories_liste" localSheetId="1">#REF!</definedName>
    <definedName name="Catégories_liste" localSheetId="5">#REF!</definedName>
    <definedName name="Catégories_liste">#REF!</definedName>
    <definedName name="DataReferencia" localSheetId="7">'MOVIMENTACOES MENSAIS'!$B$49</definedName>
    <definedName name="DataReferencia" localSheetId="8">'HISTORICO APLICACOES'!$B$42</definedName>
    <definedName name="DataReferencia">'MOVIMENTACOES MENSAIS'!$B$49</definedName>
    <definedName name="DateReference" localSheetId="8">'HISTORICO APLICACOES'!#REF!</definedName>
    <definedName name="DateReference">'[1]MOVIMENTACOES MENSAIS'!$B$30</definedName>
    <definedName name="display_long_period" localSheetId="6">CHOOSE('BTG CDB PLUS'!Période,"janvier","février","mars","avril","mai","juin","juillet","août","septembre","octobre","novembre","décembre","année")</definedName>
    <definedName name="display_long_period" localSheetId="7">CHOOSE('HISTORICO '!Période,"janvier","février","mars","avril","mai","juin","juillet","août","septembre","octobre","novembre","décembre","année")</definedName>
    <definedName name="display_long_period" localSheetId="8">CHOOSE('HISTORICO APLICACOES'!Période,"janvier","février","mars","avril","mai","juin","juillet","août","septembre","octobre","novembre","décembre","année")</definedName>
    <definedName name="display_long_period" localSheetId="1">CHOOSE('MOVIMENTACOES MENSAIS'!Période,"janvier","février","mars","avril","mai","juin","juillet","août","septembre","octobre","novembre","décembre","année")</definedName>
    <definedName name="display_long_period" localSheetId="5">CHOOSE('VARIACAO PATRIMONIAL'!Période,"janvier","février","mars","avril","mai","juin","juillet","août","septembre","octobre","novembre","décembre","année")</definedName>
    <definedName name="display_long_period">CHOOSE(Période,"janvier","février","mars","avril","mai","juin","juillet","août","septembre","octobre","novembre","décembre","année")</definedName>
    <definedName name="displayed_expense_categories" localSheetId="6">OFFSET('BTG CDB PLUS'!StartCell,15-[0]!displayed_expense_categories_count+1,,[0]!displayed_expense_categories_count)</definedName>
    <definedName name="displayed_expense_categories" localSheetId="7">OFFSET('HISTORICO '!StartCell,15-displayed_expense_categories_count+1,,displayed_expense_categories_count)</definedName>
    <definedName name="displayed_expense_categories" localSheetId="8">OFFSET('HISTORICO APLICACOES'!StartCell,15-[0]!displayed_expense_categories_count+1,,[0]!displayed_expense_categories_count)</definedName>
    <definedName name="displayed_expense_categories" localSheetId="1">OFFSET('MOVIMENTACOES MENSAIS'!StartCell,15-displayed_expense_categories_count+1,,displayed_expense_categories_count)</definedName>
    <definedName name="displayed_expense_categories" localSheetId="5">OFFSET('VARIACAO PATRIMONIAL'!StartCell,15-displayed_expense_categories_count+1,,displayed_expense_categories_count)</definedName>
    <definedName name="displayed_expense_categories">OFFSET(StartCell,15-displayed_expense_categories_count+1,,displayed_expense_categories_count)</definedName>
    <definedName name="displayed_expense_categories_count">COUNTIF(#REF!,"&gt;"&amp; " ")</definedName>
    <definedName name="displayed_expense_categories_period_values" localSheetId="6">OFFSET('BTG CDB PLUS'!displayed_expense_categories,,'BTG CDB PLUS'!Période)</definedName>
    <definedName name="displayed_expense_categories_period_values" localSheetId="7">OFFSET('HISTORICO '!displayed_expense_categories,,'HISTORICO '!Période)</definedName>
    <definedName name="displayed_expense_categories_period_values" localSheetId="8">OFFSET('HISTORICO APLICACOES'!displayed_expense_categories,,'HISTORICO APLICACOES'!Période)</definedName>
    <definedName name="displayed_expense_categories_period_values" localSheetId="1">OFFSET('MOVIMENTACOES MENSAIS'!displayed_expense_categories,,'MOVIMENTACOES MENSAIS'!Période)</definedName>
    <definedName name="displayed_expense_categories_period_values" localSheetId="5">OFFSET('VARIACAO PATRIMONIAL'!displayed_expense_categories,,'VARIACAO PATRIMONIAL'!Période)</definedName>
    <definedName name="displayed_expense_categories_period_values">OFFSET(displayed_expense_categories,,Période)</definedName>
    <definedName name="EURO" localSheetId="6">#REF!</definedName>
    <definedName name="EURO" localSheetId="7">#REF!</definedName>
    <definedName name="EURO" localSheetId="8">#REF!</definedName>
    <definedName name="EURO" localSheetId="1">#REF!</definedName>
    <definedName name="EURO" localSheetId="5">#REF!</definedName>
    <definedName name="EURO">#REF!</definedName>
    <definedName name="EURO2" localSheetId="6">#REF!</definedName>
    <definedName name="EURO2" localSheetId="7">#REF!</definedName>
    <definedName name="EURO2" localSheetId="8">#REF!</definedName>
    <definedName name="EURO2" localSheetId="5">#REF!</definedName>
    <definedName name="EURO2">#REF!</definedName>
    <definedName name="exibir_longo_periodo" localSheetId="6">CHOOSE('BTG CDB PLUS'!Période,"janvier","février","mars","avril","mai","juin","juillet","août","septembre","octobre","novembre","décembre","année")</definedName>
    <definedName name="exibir_longo_periodo" localSheetId="7">CHOOSE('HISTORICO '!Période,"janvier","février","mars","avril","mai","juin","juillet","août","septembre","octobre","novembre","décembre","année")</definedName>
    <definedName name="exibir_longo_periodo" localSheetId="8">CHOOSE([0]!Période,"janvier","février","mars","avril","mai","juin","juillet","août","septembre","octobre","novembre","décembre","année")</definedName>
    <definedName name="exibir_longo_periodo" localSheetId="5">CHOOSE('VARIACAO PATRIMONIAL'!Période,"janvier","février","mars","avril","mai","juin","juillet","août","septembre","octobre","novembre","décembre","année")</definedName>
    <definedName name="exibir_longo_periodo">CHOOSE([0]!Période,"janvier","février","mars","avril","mai","juin","juillet","août","septembre","octobre","novembre","décembre","année")</definedName>
    <definedName name="expense_categories" localSheetId="6">#REF!</definedName>
    <definedName name="expense_categories" localSheetId="7">#REF!</definedName>
    <definedName name="expense_categories" localSheetId="8">#REF!</definedName>
    <definedName name="expense_categories" localSheetId="1">#REF!</definedName>
    <definedName name="expense_categories" localSheetId="5">#REF!</definedName>
    <definedName name="expense_categories">#REF!</definedName>
    <definedName name="expense_category_list_01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1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1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1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1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1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2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2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2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2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2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2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3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3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3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3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3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3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4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4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4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4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4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4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5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5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5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5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5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5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6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6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6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6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6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6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7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7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7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7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7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7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8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8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8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8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8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8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09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09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09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09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09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09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0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0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0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0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0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0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1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1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1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1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1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1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2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2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2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2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2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2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3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3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3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3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3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3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4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4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4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4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4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4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_category_list_15" localSheetId="6">CHOOSE(MATCH(INDEX(#REF!,,1),'BTG CDB PLUS'!expense_categories,0),0,'BTG CDB PLUS'!expenses_home,'BTG CDB PLUS'!expenses_daily_living,'BTG CDB PLUS'!expenses_children,'BTG CDB PLUS'!expenses_transportation,'BTG CDB PLUS'!expenses_health,'BTG CDB PLUS'!expenses_insurance,'BTG CDB PLUS'!expenses_education,'BTG CDB PLUS'!expenses_charity,'BTG CDB PLUS'!expenses_savings,'BTG CDB PLUS'!expenses_obligations,'BTG CDB PLUS'!expenses_entertainment,'BTG CDB PLUS'!expenses_pets,'BTG CDB PLUS'!expenses_subscriptions,'BTG CDB PLUS'!expenses_vacation,'BTG CDB PLUS'!expenses_misc)</definedName>
    <definedName name="expense_category_list_15" localSheetId="7">CHOOSE(MATCH(INDEX(#REF!,,1),'HISTORICO '!expense_categories,0),0,'HISTORICO '!expenses_home,'HISTORICO '!expenses_daily_living,'HISTORICO '!expenses_children,'HISTORICO '!expenses_transportation,'HISTORICO '!expenses_health,'HISTORICO '!expenses_insurance,'HISTORICO '!expenses_education,'HISTORICO '!expenses_charity,'HISTORICO '!expenses_savings,'HISTORICO '!expenses_obligations,'HISTORICO '!expenses_entertainment,'HISTORICO '!expenses_pets,'HISTORICO '!expenses_subscriptions,'HISTORICO '!expenses_vacation,'HISTORICO '!expenses_misc)</definedName>
    <definedName name="expense_category_list_15" localSheetId="8">CHOOSE(MATCH(INDEX(#REF!,,1),'HISTORICO APLICACOES'!expense_categories,0),0,'HISTORICO APLICACOES'!expenses_home,'HISTORICO APLICACOES'!expenses_daily_living,'HISTORICO APLICACOES'!expenses_children,'HISTORICO APLICACOES'!expenses_transportation,'HISTORICO APLICACOES'!expenses_health,'HISTORICO APLICACOES'!expenses_insurance,'HISTORICO APLICACOES'!expenses_education,'HISTORICO APLICACOES'!expenses_charity,'HISTORICO APLICACOES'!expenses_savings,'HISTORICO APLICACOES'!expenses_obligations,'HISTORICO APLICACOES'!expenses_entertainment,'HISTORICO APLICACOES'!expenses_pets,'HISTORICO APLICACOES'!expenses_subscriptions,'HISTORICO APLICACOES'!expenses_vacation,'HISTORICO APLICACOES'!expenses_misc)</definedName>
    <definedName name="expense_category_list_15" localSheetId="1">CHOOSE(MATCH(INDEX(#REF!,,1),'MOVIMENTACOES MENSAIS'!expense_categories,0),0,'MOVIMENTACOES MENSAIS'!expenses_home,'MOVIMENTACOES MENSAIS'!expenses_daily_living,'MOVIMENTACOES MENSAIS'!expenses_children,'MOVIMENTACOES MENSAIS'!expenses_transportation,'MOVIMENTACOES MENSAIS'!expenses_health,'MOVIMENTACOES MENSAIS'!expenses_insurance,'MOVIMENTACOES MENSAIS'!expenses_education,'MOVIMENTACOES MENSAIS'!expenses_charity,'MOVIMENTACOES MENSAIS'!expenses_savings,'MOVIMENTACOES MENSAIS'!expenses_obligations,'MOVIMENTACOES MENSAIS'!expenses_entertainment,'MOVIMENTACOES MENSAIS'!expenses_pets,'MOVIMENTACOES MENSAIS'!expenses_subscriptions,'MOVIMENTACOES MENSAIS'!expenses_vacation,'MOVIMENTACOES MENSAIS'!expenses_misc)</definedName>
    <definedName name="expense_category_list_15" localSheetId="5">CHOOSE(MATCH(INDEX(#REF!,,1),'VARIACAO PATRIMONIAL'!expense_categories,0),0,'VARIACAO PATRIMONIAL'!expenses_home,'VARIACAO PATRIMONIAL'!expenses_daily_living,'VARIACAO PATRIMONIAL'!expenses_children,'VARIACAO PATRIMONIAL'!expenses_transportation,'VARIACAO PATRIMONIAL'!expenses_health,'VARIACAO PATRIMONIAL'!expenses_insurance,'VARIACAO PATRIMONIAL'!expenses_education,'VARIACAO PATRIMONIAL'!expenses_charity,'VARIACAO PATRIMONIAL'!expenses_savings,'VARIACAO PATRIMONIAL'!expenses_obligations,'VARIACAO PATRIMONIAL'!expenses_entertainment,'VARIACAO PATRIMONIAL'!expenses_pets,'VARIACAO PATRIMONIAL'!expenses_subscriptions,'VARIACAO PATRIMONIAL'!expenses_vacation,'VARIACAO PATRIMONIAL'!expenses_misc)</definedName>
    <definedName name="expense_category_list_15">CHOOSE(MATCH(INDEX(#REF!,,1),expense_categories,0),0,expenses_home,expenses_daily_living,expenses_children,expenses_transportation,expenses_health,expenses_insurance,expenses_education,expenses_charity,expenses_savings,expenses_obligations,expenses_entertainment,expenses_pets,expenses_subscriptions,expenses_vacation,expenses_misc)</definedName>
    <definedName name="expenses_charity" localSheetId="6">#REF!</definedName>
    <definedName name="expenses_charity" localSheetId="7">#REF!</definedName>
    <definedName name="expenses_charity" localSheetId="8">#REF!</definedName>
    <definedName name="expenses_charity" localSheetId="1">#REF!</definedName>
    <definedName name="expenses_charity" localSheetId="5">#REF!</definedName>
    <definedName name="expenses_charity">#REF!</definedName>
    <definedName name="expenses_children" localSheetId="6">#REF!</definedName>
    <definedName name="expenses_children" localSheetId="7">#REF!</definedName>
    <definedName name="expenses_children" localSheetId="8">#REF!</definedName>
    <definedName name="expenses_children" localSheetId="1">#REF!</definedName>
    <definedName name="expenses_children" localSheetId="5">#REF!</definedName>
    <definedName name="expenses_children">#REF!</definedName>
    <definedName name="expenses_daily_living" localSheetId="6">#REF!</definedName>
    <definedName name="expenses_daily_living" localSheetId="7">#REF!</definedName>
    <definedName name="expenses_daily_living" localSheetId="8">#REF!</definedName>
    <definedName name="expenses_daily_living" localSheetId="1">#REF!</definedName>
    <definedName name="expenses_daily_living" localSheetId="5">#REF!</definedName>
    <definedName name="expenses_daily_living">#REF!</definedName>
    <definedName name="expenses_education" localSheetId="6">#REF!</definedName>
    <definedName name="expenses_education" localSheetId="7">#REF!</definedName>
    <definedName name="expenses_education" localSheetId="8">#REF!</definedName>
    <definedName name="expenses_education" localSheetId="1">#REF!</definedName>
    <definedName name="expenses_education" localSheetId="5">#REF!</definedName>
    <definedName name="expenses_education">#REF!</definedName>
    <definedName name="expenses_entertainment" localSheetId="6">#REF!</definedName>
    <definedName name="expenses_entertainment" localSheetId="7">#REF!</definedName>
    <definedName name="expenses_entertainment" localSheetId="8">#REF!</definedName>
    <definedName name="expenses_entertainment" localSheetId="1">#REF!</definedName>
    <definedName name="expenses_entertainment" localSheetId="5">#REF!</definedName>
    <definedName name="expenses_entertainment">#REF!</definedName>
    <definedName name="expenses_health" localSheetId="6">#REF!</definedName>
    <definedName name="expenses_health" localSheetId="7">#REF!</definedName>
    <definedName name="expenses_health" localSheetId="8">#REF!</definedName>
    <definedName name="expenses_health" localSheetId="1">#REF!</definedName>
    <definedName name="expenses_health" localSheetId="5">#REF!</definedName>
    <definedName name="expenses_health">#REF!</definedName>
    <definedName name="expenses_home" localSheetId="6">#REF!</definedName>
    <definedName name="expenses_home" localSheetId="7">#REF!</definedName>
    <definedName name="expenses_home" localSheetId="8">#REF!</definedName>
    <definedName name="expenses_home" localSheetId="1">#REF!</definedName>
    <definedName name="expenses_home" localSheetId="5">#REF!</definedName>
    <definedName name="expenses_home">#REF!</definedName>
    <definedName name="expenses_insurance" localSheetId="6">#REF!</definedName>
    <definedName name="expenses_insurance" localSheetId="7">#REF!</definedName>
    <definedName name="expenses_insurance" localSheetId="8">#REF!</definedName>
    <definedName name="expenses_insurance" localSheetId="1">#REF!</definedName>
    <definedName name="expenses_insurance" localSheetId="5">#REF!</definedName>
    <definedName name="expenses_insurance">#REF!</definedName>
    <definedName name="expenses_misc" localSheetId="6">#REF!</definedName>
    <definedName name="expenses_misc" localSheetId="7">#REF!</definedName>
    <definedName name="expenses_misc" localSheetId="8">#REF!</definedName>
    <definedName name="expenses_misc" localSheetId="1">#REF!</definedName>
    <definedName name="expenses_misc" localSheetId="5">#REF!</definedName>
    <definedName name="expenses_misc">#REF!</definedName>
    <definedName name="expenses_obligations" localSheetId="6">#REF!</definedName>
    <definedName name="expenses_obligations" localSheetId="7">#REF!</definedName>
    <definedName name="expenses_obligations" localSheetId="8">#REF!</definedName>
    <definedName name="expenses_obligations" localSheetId="1">#REF!</definedName>
    <definedName name="expenses_obligations" localSheetId="5">#REF!</definedName>
    <definedName name="expenses_obligations">#REF!</definedName>
    <definedName name="expenses_pets" localSheetId="6">#REF!</definedName>
    <definedName name="expenses_pets" localSheetId="7">#REF!</definedName>
    <definedName name="expenses_pets" localSheetId="8">#REF!</definedName>
    <definedName name="expenses_pets" localSheetId="1">#REF!</definedName>
    <definedName name="expenses_pets" localSheetId="5">#REF!</definedName>
    <definedName name="expenses_pets">#REF!</definedName>
    <definedName name="expenses_savings" localSheetId="6">#REF!</definedName>
    <definedName name="expenses_savings" localSheetId="7">#REF!</definedName>
    <definedName name="expenses_savings" localSheetId="8">#REF!</definedName>
    <definedName name="expenses_savings" localSheetId="1">#REF!</definedName>
    <definedName name="expenses_savings" localSheetId="5">#REF!</definedName>
    <definedName name="expenses_savings">#REF!</definedName>
    <definedName name="expenses_subscriptions" localSheetId="6">#REF!</definedName>
    <definedName name="expenses_subscriptions" localSheetId="7">#REF!</definedName>
    <definedName name="expenses_subscriptions" localSheetId="8">#REF!</definedName>
    <definedName name="expenses_subscriptions" localSheetId="1">#REF!</definedName>
    <definedName name="expenses_subscriptions" localSheetId="5">#REF!</definedName>
    <definedName name="expenses_subscriptions">#REF!</definedName>
    <definedName name="expenses_transportation" localSheetId="6">#REF!</definedName>
    <definedName name="expenses_transportation" localSheetId="7">#REF!</definedName>
    <definedName name="expenses_transportation" localSheetId="8">#REF!</definedName>
    <definedName name="expenses_transportation" localSheetId="1">#REF!</definedName>
    <definedName name="expenses_transportation" localSheetId="5">#REF!</definedName>
    <definedName name="expenses_transportation">#REF!</definedName>
    <definedName name="expenses_vacation" localSheetId="6">#REF!</definedName>
    <definedName name="expenses_vacation" localSheetId="7">#REF!</definedName>
    <definedName name="expenses_vacation" localSheetId="8">#REF!</definedName>
    <definedName name="expenses_vacation" localSheetId="1">#REF!</definedName>
    <definedName name="expenses_vacation" localSheetId="5">#REF!</definedName>
    <definedName name="expenses_vacation">#REF!</definedName>
    <definedName name="m" localSheetId="6">'BTG CDB PLUS'!min_g+'BTG CDB PLUS'!max_g</definedName>
    <definedName name="m" localSheetId="7">'HISTORICO '!min_g+'HISTORICO '!max_g</definedName>
    <definedName name="m" localSheetId="8">'HISTORICO APLICACOES'!min_g+'HISTORICO APLICACOES'!max_g</definedName>
    <definedName name="m" localSheetId="1">'MOVIMENTACOES MENSAIS'!min_g+'MOVIMENTACOES MENSAIS'!max_g</definedName>
    <definedName name="m" localSheetId="5">'VARIACAO PATRIMONIAL'!min_g+'VARIACAO PATRIMONIAL'!max_g</definedName>
    <definedName name="m">min_g+max_g</definedName>
    <definedName name="max_g" localSheetId="6">#REF!</definedName>
    <definedName name="max_g" localSheetId="7">#REF!</definedName>
    <definedName name="max_g" localSheetId="8">#REF!</definedName>
    <definedName name="max_g" localSheetId="1">#REF!</definedName>
    <definedName name="max_g" localSheetId="5">#REF!</definedName>
    <definedName name="max_g">#REF!</definedName>
    <definedName name="max_scala" localSheetId="6">#REF!</definedName>
    <definedName name="max_scala" localSheetId="7">#REF!</definedName>
    <definedName name="max_scala" localSheetId="8">#REF!</definedName>
    <definedName name="max_scala" localSheetId="1">#REF!</definedName>
    <definedName name="max_scala" localSheetId="5">#REF!</definedName>
    <definedName name="max_scala">#REF!</definedName>
    <definedName name="min_g" localSheetId="6">#REF!</definedName>
    <definedName name="min_g" localSheetId="7">#REF!</definedName>
    <definedName name="min_g" localSheetId="8">#REF!</definedName>
    <definedName name="min_g" localSheetId="1">#REF!</definedName>
    <definedName name="min_g" localSheetId="5">#REF!</definedName>
    <definedName name="min_g">#REF!</definedName>
    <definedName name="needle" localSheetId="6">MMULT((MOD(INT(#REF!/'BTG CDB PLUS'!m*'BTG CDB PLUS'!ANGLE)-'BTG CDB PLUS'!ANGLE/2+1-ROW(INDIRECT("x!1:360")),360)={0,1,359,179,180,181})*CHOOSE({1,2,2,3,3,3},95,75,5),{1;1;1;1;1;1})+5</definedName>
    <definedName name="needle" localSheetId="7">MMULT((MOD(INT(#REF!/'HISTORICO '!m*'HISTORICO '!ANGLE)-'HISTORICO '!ANGLE/2+1-ROW(INDIRECT("x!1:360")),360)={0,1,359,179,180,181})*CHOOSE({1,2,2,3,3,3},95,75,5),{1;1;1;1;1;1})+5</definedName>
    <definedName name="needle" localSheetId="8">MMULT((MOD(INT(#REF!/'HISTORICO APLICACOES'!m*'HISTORICO APLICACOES'!ANGLE)-'HISTORICO APLICACOES'!ANGLE/2+1-ROW(INDIRECT("x!1:360")),360)={0,1,359,179,180,181})*CHOOSE({1,2,2,3,3,3},95,75,5),{1;1;1;1;1;1})+5</definedName>
    <definedName name="needle" localSheetId="1">MMULT((MOD(INT(#REF!/'MOVIMENTACOES MENSAIS'!m*'MOVIMENTACOES MENSAIS'!ANGLE)-'MOVIMENTACOES MENSAIS'!ANGLE/2+1-ROW(INDIRECT("x!1:360")),360)={0,1,359,179,180,181})*CHOOSE({1,2,2,3,3,3},95,75,5),{1;1;1;1;1;1})+5</definedName>
    <definedName name="needle" localSheetId="5">MMULT((MOD(INT(#REF!/'VARIACAO PATRIMONIAL'!m*'VARIACAO PATRIMONIAL'!ANGLE)-'VARIACAO PATRIMONIAL'!ANGLE/2+1-ROW(INDIRECT("x!1:360")),360)={0,1,359,179,180,181})*CHOOSE({1,2,2,3,3,3},95,75,5),{1;1;1;1;1;1})+5</definedName>
    <definedName name="needle">MMULT((MOD(INT(#REF!/m*ANGLE)-ANGLE/2+1-ROW(INDIRECT("x!1:360")),360)={0,1,359,179,180,181})*CHOOSE({1,2,2,3,3,3},95,75,5),{1;1;1;1;1;1})+5</definedName>
    <definedName name="Période" localSheetId="6">#REF!</definedName>
    <definedName name="Période" localSheetId="7">#REF!</definedName>
    <definedName name="Période" localSheetId="8">#REF!</definedName>
    <definedName name="Période" localSheetId="1">#REF!</definedName>
    <definedName name="Période" localSheetId="5">#REF!</definedName>
    <definedName name="Période">#REF!</definedName>
    <definedName name="revenus" localSheetId="6">#REF!</definedName>
    <definedName name="revenus" localSheetId="7">#REF!</definedName>
    <definedName name="revenus" localSheetId="8">#REF!</definedName>
    <definedName name="revenus" localSheetId="1">#REF!</definedName>
    <definedName name="revenus" localSheetId="5">#REF!</definedName>
    <definedName name="revenus">#REF!</definedName>
    <definedName name="SCALE_1" localSheetId="6">IF(ROW(#REF!)=13,1-'BTG CDB PLUS'!ANGLE/360,'BTG CDB PLUS'!ANGLE/720/12)</definedName>
    <definedName name="SCALE_1" localSheetId="7">IF(ROW(#REF!)=13,1-'HISTORICO '!ANGLE/360,'HISTORICO '!ANGLE/720/12)</definedName>
    <definedName name="SCALE_1" localSheetId="8">IF(ROW(#REF!)=13,1-'HISTORICO APLICACOES'!ANGLE/360,'HISTORICO APLICACOES'!ANGLE/720/12)</definedName>
    <definedName name="SCALE_1" localSheetId="1">IF(ROW(#REF!)=13,1-'MOVIMENTACOES MENSAIS'!ANGLE/360,'MOVIMENTACOES MENSAIS'!ANGLE/720/12)</definedName>
    <definedName name="SCALE_1" localSheetId="5">IF(ROW(#REF!)=13,1-'VARIACAO PATRIMONIAL'!ANGLE/360,'VARIACAO PATRIMONIAL'!ANGLE/720/12)</definedName>
    <definedName name="SCALE_1">IF(ROW(#REF!)=13,1-ANGLE/360,ANGLE/720/12)</definedName>
    <definedName name="SCALE_2" localSheetId="6">IF(ROW(#REF!)=7,1-'BTG CDB PLUS'!ANGLE/360,'BTG CDB PLUS'!ANGLE/720/6)</definedName>
    <definedName name="SCALE_2" localSheetId="7">IF(ROW(#REF!)=7,1-'HISTORICO '!ANGLE/360,'HISTORICO '!ANGLE/720/6)</definedName>
    <definedName name="SCALE_2" localSheetId="8">IF(ROW(#REF!)=7,1-'HISTORICO APLICACOES'!ANGLE/360,'HISTORICO APLICACOES'!ANGLE/720/6)</definedName>
    <definedName name="SCALE_2" localSheetId="1">IF(ROW(#REF!)=7,1-'MOVIMENTACOES MENSAIS'!ANGLE/360,'MOVIMENTACOES MENSAIS'!ANGLE/720/6)</definedName>
    <definedName name="SCALE_2" localSheetId="5">IF(ROW(#REF!)=7,1-'VARIACAO PATRIMONIAL'!ANGLE/360,'VARIACAO PATRIMONIAL'!ANGLE/720/6)</definedName>
    <definedName name="SCALE_2">IF(ROW(#REF!)=7,1-ANGLE/360,ANGLE/720/6)</definedName>
    <definedName name="SCALE_3" localSheetId="6">IF(ROW(#REF!)=2,1-'BTG CDB PLUS'!ANGLE/360,'BTG CDB PLUS'!ANGLE/720)</definedName>
    <definedName name="SCALE_3" localSheetId="7">IF(ROW(#REF!)=2,1-'HISTORICO '!ANGLE/360,'HISTORICO '!ANGLE/720)</definedName>
    <definedName name="SCALE_3" localSheetId="8">IF(ROW(#REF!)=2,1-'HISTORICO APLICACOES'!ANGLE/360,'HISTORICO APLICACOES'!ANGLE/720)</definedName>
    <definedName name="SCALE_3" localSheetId="1">IF(ROW(#REF!)=2,1-'MOVIMENTACOES MENSAIS'!ANGLE/360,'MOVIMENTACOES MENSAIS'!ANGLE/720)</definedName>
    <definedName name="SCALE_3" localSheetId="5">IF(ROW(#REF!)=2,1-'VARIACAO PATRIMONIAL'!ANGLE/360,'VARIACAO PATRIMONIAL'!ANGLE/720)</definedName>
    <definedName name="SCALE_3">IF(ROW(#REF!)=2,1-ANGLE/360,ANGLE/720)</definedName>
    <definedName name="SCALE_BASE" localSheetId="6">CHOOSE({2;4;1;3;2},1-'BTG CDB PLUS'!ANGLE/360,('BTG CDB PLUS'!max_g-'BTG CDB PLUS'!min_g)/'BTG CDB PLUS'!m*'BTG CDB PLUS'!ANGLE/2/360,'BTG CDB PLUS'!min_g/'BTG CDB PLUS'!m*'BTG CDB PLUS'!ANGLE/360,('BTG CDB PLUS'!m-'BTG CDB PLUS'!max_g)/'BTG CDB PLUS'!m*'BTG CDB PLUS'!ANGLE/360)</definedName>
    <definedName name="SCALE_BASE" localSheetId="7">CHOOSE({2;4;1;3;2},1-'HISTORICO '!ANGLE/360,('HISTORICO '!max_g-'HISTORICO '!min_g)/'HISTORICO '!m*'HISTORICO '!ANGLE/2/360,'HISTORICO '!min_g/'HISTORICO '!m*'HISTORICO '!ANGLE/360,('HISTORICO '!m-'HISTORICO '!max_g)/'HISTORICO '!m*'HISTORICO '!ANGLE/360)</definedName>
    <definedName name="SCALE_BASE" localSheetId="8">CHOOSE({2;4;1;3;2},1-'HISTORICO APLICACOES'!ANGLE/360,('HISTORICO APLICACOES'!max_g-'HISTORICO APLICACOES'!min_g)/'HISTORICO APLICACOES'!m*'HISTORICO APLICACOES'!ANGLE/2/360,'HISTORICO APLICACOES'!min_g/'HISTORICO APLICACOES'!m*'HISTORICO APLICACOES'!ANGLE/360,('HISTORICO APLICACOES'!m-'HISTORICO APLICACOES'!max_g)/'HISTORICO APLICACOES'!m*'HISTORICO APLICACOES'!ANGLE/360)</definedName>
    <definedName name="SCALE_BASE" localSheetId="1">CHOOSE({2;4;1;3;2},1-'MOVIMENTACOES MENSAIS'!ANGLE/360,('MOVIMENTACOES MENSAIS'!max_g-'MOVIMENTACOES MENSAIS'!min_g)/'MOVIMENTACOES MENSAIS'!m*'MOVIMENTACOES MENSAIS'!ANGLE/2/360,'MOVIMENTACOES MENSAIS'!min_g/'MOVIMENTACOES MENSAIS'!m*'MOVIMENTACOES MENSAIS'!ANGLE/360,('MOVIMENTACOES MENSAIS'!m-'MOVIMENTACOES MENSAIS'!max_g)/'MOVIMENTACOES MENSAIS'!m*'MOVIMENTACOES MENSAIS'!ANGLE/360)</definedName>
    <definedName name="SCALE_BASE" localSheetId="5">CHOOSE({2;4;1;3;2},1-'VARIACAO PATRIMONIAL'!ANGLE/360,('VARIACAO PATRIMONIAL'!max_g-'VARIACAO PATRIMONIAL'!min_g)/'VARIACAO PATRIMONIAL'!m*'VARIACAO PATRIMONIAL'!ANGLE/2/360,'VARIACAO PATRIMONIAL'!min_g/'VARIACAO PATRIMONIAL'!m*'VARIACAO PATRIMONIAL'!ANGLE/360,('VARIACAO PATRIMONIAL'!m-'VARIACAO PATRIMONIAL'!max_g)/'VARIACAO PATRIMONIAL'!m*'VARIACAO PATRIMONIAL'!ANGLE/360)</definedName>
    <definedName name="SCALE_BASE">CHOOSE({2;4;1;3;2},1-ANGLE/360,(max_g-min_g)/m*ANGLE/2/360,min_g/m*ANGLE/360,(m-max_g)/m*ANGLE/360)</definedName>
    <definedName name="shpBotaoDetalhes" localSheetId="6">Tableau de #REF!</definedName>
    <definedName name="shpBotaoDetalhes" localSheetId="7">Tableau de #REF!</definedName>
    <definedName name="shpBotaoDetalhes" localSheetId="8">Tableau de #REF!</definedName>
    <definedName name="shpBotaoDetalhes" localSheetId="1">Tableau de #REF!</definedName>
    <definedName name="shpBotaoDetalhes" localSheetId="5">Tableau de #REF!</definedName>
    <definedName name="shpBotaoDetalhes">Tableau de #REF!</definedName>
    <definedName name="shpButtonDetails" localSheetId="6">Tableau de #REF!</definedName>
    <definedName name="shpButtonDetails" localSheetId="7">Tableau de #REF!</definedName>
    <definedName name="shpButtonDetails" localSheetId="8">Tableau de #REF!</definedName>
    <definedName name="shpButtonDetails" localSheetId="1">Tableau de #REF!</definedName>
    <definedName name="shpButtonDetails" localSheetId="5">Tableau de #REF!</definedName>
    <definedName name="shpButtonDetails">Tableau de #REF!</definedName>
    <definedName name="StartCell" localSheetId="6">#REF!</definedName>
    <definedName name="StartCell" localSheetId="7">#REF!</definedName>
    <definedName name="StartCell" localSheetId="8">#REF!</definedName>
    <definedName name="StartCell" localSheetId="1">#REF!</definedName>
    <definedName name="StartCell" localSheetId="5">#REF!</definedName>
    <definedName name="StartCell">#REF!</definedName>
    <definedName name="StartingBalance" localSheetId="6">#REF!</definedName>
    <definedName name="StartingBalance" localSheetId="7">#REF!</definedName>
    <definedName name="StartingBalance" localSheetId="8">#REF!</definedName>
    <definedName name="StartingBalance" localSheetId="1">#REF!</definedName>
    <definedName name="StartingBalance" localSheetId="5">#REF!</definedName>
    <definedName name="StartingBalance">#REF!</definedName>
    <definedName name="titre_feuille_de_calcul" localSheetId="6">#REF!</definedName>
    <definedName name="titre_feuille_de_calcul" localSheetId="9">#REF!</definedName>
    <definedName name="titre_feuille_de_calcul" localSheetId="7">#REF!</definedName>
    <definedName name="titre_feuille_de_calcul" localSheetId="8">#REF!</definedName>
    <definedName name="titre_feuille_de_calcul" localSheetId="1">#REF!</definedName>
    <definedName name="titre_feuille_de_calcul" localSheetId="5">#REF!</definedName>
    <definedName name="titre_feuille_de_calcul">#REF!</definedName>
    <definedName name="valores_despesas_categorias_exibidas_periodo" localSheetId="6">OFFSET('BTG CDB PLUS'!categorias_despesas_exibidas,,'BTG CDB PLUS'!Période)</definedName>
    <definedName name="valores_despesas_categorias_exibidas_periodo" localSheetId="7">OFFSET('HISTORICO '!categorias_despesas_exibidas,,'HISTORICO '!Période)</definedName>
    <definedName name="valores_despesas_categorias_exibidas_periodo" localSheetId="8">OFFSET('HISTORICO APLICACOES'!categorias_despesas_exibidas,,[0]!Période)</definedName>
    <definedName name="valores_despesas_categorias_exibidas_periodo" localSheetId="5">OFFSET('VARIACAO PATRIMONIAL'!categorias_despesas_exibidas,,'VARIACAO PATRIMONIAL'!Période)</definedName>
    <definedName name="valores_despesas_categorias_exibidas_periodo">OFFSET(categorias_despesas_exibidas,,[0]!Période)</definedName>
  </definedNames>
  <calcPr calcId="191029"/>
  <pivotCaches>
    <pivotCache cacheId="0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32" l="1"/>
  <c r="K44" i="24"/>
  <c r="M44" i="24"/>
  <c r="O44" i="24"/>
  <c r="P44" i="24"/>
  <c r="Q44" i="24"/>
  <c r="R44" i="24"/>
  <c r="S44" i="24"/>
  <c r="T44" i="24"/>
  <c r="U44" i="24"/>
  <c r="V44" i="24"/>
  <c r="W44" i="24"/>
  <c r="X44" i="24"/>
  <c r="Y44" i="24"/>
  <c r="Z44" i="24"/>
  <c r="AA44" i="24"/>
  <c r="AB44" i="24"/>
  <c r="AC44" i="24"/>
  <c r="AD44" i="24"/>
  <c r="AE44" i="24"/>
  <c r="AF44" i="24"/>
  <c r="I44" i="24"/>
  <c r="B14" i="29"/>
  <c r="E12" i="29"/>
  <c r="E13" i="29"/>
  <c r="C11" i="32"/>
  <c r="AI14" i="24"/>
  <c r="AJ40" i="24"/>
  <c r="AH40" i="24"/>
  <c r="AI40" i="24"/>
  <c r="AG40" i="24"/>
  <c r="AI10" i="24" l="1"/>
  <c r="AI21" i="24"/>
  <c r="H7" i="24" l="1"/>
  <c r="H32" i="24"/>
  <c r="AJ38" i="24"/>
  <c r="AI38" i="24"/>
  <c r="G32" i="24" l="1"/>
  <c r="H13" i="24"/>
  <c r="G35" i="24"/>
  <c r="G13" i="24"/>
  <c r="G12" i="24"/>
  <c r="G7" i="24"/>
  <c r="G41" i="24" l="1"/>
  <c r="G11" i="24" l="1"/>
  <c r="H11" i="24"/>
  <c r="H12" i="24"/>
  <c r="H35" i="24" l="1"/>
  <c r="G39" i="24" l="1"/>
  <c r="AI30" i="24" l="1"/>
  <c r="AH30" i="24"/>
  <c r="H5" i="24"/>
  <c r="AI5" i="24" s="1"/>
  <c r="G5" i="24" l="1"/>
  <c r="G34" i="24" l="1"/>
  <c r="H34" i="24"/>
  <c r="AI42" i="24" l="1"/>
  <c r="G43" i="24" l="1"/>
  <c r="E7" i="29" l="1"/>
  <c r="E11" i="29"/>
  <c r="E10" i="29"/>
  <c r="E9" i="29"/>
  <c r="E8" i="29"/>
  <c r="E52" i="29"/>
  <c r="E51" i="29"/>
  <c r="E50" i="29"/>
  <c r="E49" i="29"/>
  <c r="E48" i="29"/>
  <c r="E47" i="29"/>
  <c r="E46" i="29"/>
  <c r="D40" i="29"/>
  <c r="C40" i="29"/>
  <c r="E40" i="29"/>
  <c r="A27" i="29"/>
  <c r="A26" i="29"/>
  <c r="A25" i="29"/>
  <c r="A24" i="29"/>
  <c r="A23" i="29"/>
  <c r="A22" i="29"/>
  <c r="A21" i="29"/>
  <c r="A20" i="29"/>
  <c r="A19" i="29"/>
  <c r="C27" i="29"/>
  <c r="A18" i="29"/>
  <c r="A17" i="29"/>
  <c r="D27" i="29"/>
  <c r="A16" i="29"/>
  <c r="E27" i="29"/>
  <c r="A15" i="29"/>
  <c r="C14" i="29"/>
  <c r="E6" i="29" l="1"/>
  <c r="D14" i="29"/>
  <c r="E5" i="29"/>
  <c r="E4" i="29"/>
  <c r="G8" i="24"/>
  <c r="H8" i="24"/>
  <c r="AI8" i="24" s="1"/>
  <c r="G6" i="24"/>
  <c r="H6" i="24"/>
  <c r="AI6" i="24" s="1"/>
  <c r="E14" i="29" l="1"/>
  <c r="AH31" i="24" l="1"/>
  <c r="AI31" i="24"/>
  <c r="AJ31" i="24"/>
  <c r="AG31" i="24"/>
  <c r="N4" i="24"/>
  <c r="N44" i="24" s="1"/>
  <c r="L32" i="24"/>
  <c r="L44" i="24" s="1"/>
  <c r="J33" i="24"/>
  <c r="J32" i="24"/>
  <c r="J44" i="24" s="1"/>
  <c r="C28" i="25"/>
  <c r="D28" i="25"/>
  <c r="C29" i="25"/>
  <c r="D29" i="25"/>
  <c r="C30" i="25"/>
  <c r="D30" i="25"/>
  <c r="C31" i="25"/>
  <c r="D31" i="25"/>
  <c r="C32" i="25"/>
  <c r="D32" i="25"/>
  <c r="C33" i="25"/>
  <c r="D33" i="25"/>
  <c r="C34" i="25"/>
  <c r="D34" i="25"/>
  <c r="C35" i="25"/>
  <c r="D35" i="25"/>
  <c r="C36" i="25"/>
  <c r="D36" i="25"/>
  <c r="C37" i="25"/>
  <c r="D37" i="25"/>
  <c r="C38" i="25"/>
  <c r="D38" i="25"/>
  <c r="C39" i="25"/>
  <c r="D39" i="25"/>
  <c r="AI32" i="24" l="1"/>
  <c r="AI9" i="28" l="1"/>
  <c r="AH9" i="28"/>
  <c r="Q9" i="28"/>
  <c r="AG9" i="28" s="1"/>
  <c r="AJ9" i="28" s="1"/>
  <c r="AI12" i="28"/>
  <c r="AH12" i="28"/>
  <c r="AG12" i="28"/>
  <c r="AJ12" i="28" s="1"/>
  <c r="AI10" i="28"/>
  <c r="AH10" i="28"/>
  <c r="AG10" i="28"/>
  <c r="AM10" i="28" l="1"/>
  <c r="AJ10" i="28"/>
  <c r="AK12" i="28"/>
  <c r="AK9" i="28"/>
  <c r="AK10" i="28"/>
  <c r="AL9" i="28"/>
  <c r="AL10" i="28"/>
  <c r="AM12" i="28"/>
  <c r="AM9" i="28"/>
  <c r="AL12" i="28"/>
  <c r="AL30" i="28" l="1"/>
  <c r="AL32" i="28"/>
  <c r="AL31" i="28"/>
  <c r="AK30" i="28"/>
  <c r="AK31" i="28"/>
  <c r="AK32" i="28"/>
  <c r="AM30" i="28"/>
  <c r="AM32" i="28"/>
  <c r="AM31" i="28"/>
  <c r="Y42" i="8"/>
  <c r="Z42" i="8"/>
  <c r="H42" i="8"/>
  <c r="I42" i="8"/>
  <c r="J42" i="8"/>
  <c r="K42" i="8"/>
  <c r="L42" i="8"/>
  <c r="M42" i="8"/>
  <c r="B44" i="25" s="1"/>
  <c r="N42" i="8"/>
  <c r="O42" i="8"/>
  <c r="P42" i="8"/>
  <c r="Q42" i="8"/>
  <c r="R42" i="8"/>
  <c r="S42" i="8"/>
  <c r="T42" i="8"/>
  <c r="U42" i="8"/>
  <c r="V42" i="8"/>
  <c r="W42" i="8"/>
  <c r="B49" i="25" s="1"/>
  <c r="X42" i="8"/>
  <c r="AA42" i="8"/>
  <c r="E52" i="25" s="1"/>
  <c r="AB42" i="8"/>
  <c r="AC42" i="8"/>
  <c r="AD42" i="8"/>
  <c r="G42" i="8"/>
  <c r="A2" i="25"/>
  <c r="C2" i="25"/>
  <c r="D2" i="25"/>
  <c r="E2" i="25"/>
  <c r="A3" i="25"/>
  <c r="C3" i="25"/>
  <c r="D3" i="25"/>
  <c r="E3" i="25"/>
  <c r="A4" i="25"/>
  <c r="C4" i="25"/>
  <c r="D4" i="25"/>
  <c r="E4" i="25"/>
  <c r="A5" i="25"/>
  <c r="C5" i="25"/>
  <c r="D5" i="25"/>
  <c r="E5" i="25"/>
  <c r="A6" i="25"/>
  <c r="C6" i="25"/>
  <c r="D6" i="25"/>
  <c r="E6" i="25"/>
  <c r="A7" i="25"/>
  <c r="C7" i="25"/>
  <c r="D7" i="25"/>
  <c r="E7" i="25"/>
  <c r="A8" i="25"/>
  <c r="C8" i="25"/>
  <c r="D8" i="25"/>
  <c r="E8" i="25"/>
  <c r="A9" i="25"/>
  <c r="C9" i="25"/>
  <c r="D9" i="25"/>
  <c r="E9" i="25"/>
  <c r="A10" i="25"/>
  <c r="C10" i="25"/>
  <c r="D10" i="25"/>
  <c r="E10" i="25"/>
  <c r="A11" i="25"/>
  <c r="C11" i="25"/>
  <c r="D11" i="25"/>
  <c r="E11" i="25"/>
  <c r="A12" i="25"/>
  <c r="C12" i="25"/>
  <c r="D12" i="25"/>
  <c r="E12" i="25"/>
  <c r="A13" i="25"/>
  <c r="C13" i="25"/>
  <c r="D13" i="25"/>
  <c r="E13" i="25"/>
  <c r="A14" i="25"/>
  <c r="A15" i="25"/>
  <c r="C15" i="25"/>
  <c r="D15" i="25"/>
  <c r="E15" i="25"/>
  <c r="A16" i="25"/>
  <c r="C16" i="25"/>
  <c r="D16" i="25"/>
  <c r="E16" i="25"/>
  <c r="A17" i="25"/>
  <c r="C17" i="25"/>
  <c r="D17" i="25"/>
  <c r="E17" i="25"/>
  <c r="A18" i="25"/>
  <c r="C18" i="25"/>
  <c r="D18" i="25"/>
  <c r="E18" i="25"/>
  <c r="A19" i="25"/>
  <c r="C19" i="25"/>
  <c r="D19" i="25"/>
  <c r="E19" i="25"/>
  <c r="A20" i="25"/>
  <c r="C20" i="25"/>
  <c r="D20" i="25"/>
  <c r="E20" i="25"/>
  <c r="A21" i="25"/>
  <c r="C21" i="25"/>
  <c r="D21" i="25"/>
  <c r="E21" i="25"/>
  <c r="A22" i="25"/>
  <c r="C22" i="25"/>
  <c r="D22" i="25"/>
  <c r="E22" i="25"/>
  <c r="A23" i="25"/>
  <c r="C23" i="25"/>
  <c r="D23" i="25"/>
  <c r="E23" i="25"/>
  <c r="A24" i="25"/>
  <c r="C24" i="25"/>
  <c r="D24" i="25"/>
  <c r="E24" i="25"/>
  <c r="A25" i="25"/>
  <c r="C25" i="25"/>
  <c r="D25" i="25"/>
  <c r="E25" i="25"/>
  <c r="A26" i="25"/>
  <c r="C26" i="25"/>
  <c r="D26" i="25"/>
  <c r="E26" i="25"/>
  <c r="A27" i="25"/>
  <c r="B57" i="25" l="1"/>
  <c r="C14" i="25"/>
  <c r="E27" i="25"/>
  <c r="D14" i="25"/>
  <c r="C27" i="25"/>
  <c r="D27" i="25"/>
  <c r="E14" i="25"/>
  <c r="AJ18" i="24"/>
  <c r="AJ9" i="24"/>
  <c r="AJ15" i="24"/>
  <c r="AJ13" i="24"/>
  <c r="AJ24" i="24"/>
  <c r="AJ16" i="24"/>
  <c r="AJ29" i="24"/>
  <c r="AJ14" i="24"/>
  <c r="AJ42" i="24"/>
  <c r="AJ7" i="24"/>
  <c r="AJ21" i="24"/>
  <c r="AG41" i="24"/>
  <c r="AG6" i="24"/>
  <c r="AJ6" i="24" s="1"/>
  <c r="E51" i="25" l="1"/>
  <c r="AG32" i="24"/>
  <c r="AG25" i="24"/>
  <c r="AJ25" i="24" s="1"/>
  <c r="AG30" i="24"/>
  <c r="AJ30" i="24" s="1"/>
  <c r="AG38" i="24"/>
  <c r="AH25" i="24"/>
  <c r="AH32" i="24"/>
  <c r="AI25" i="24"/>
  <c r="AI33" i="24"/>
  <c r="AJ33" i="24"/>
  <c r="AI13" i="24"/>
  <c r="AI39" i="24"/>
  <c r="AJ39" i="24"/>
  <c r="AI43" i="24"/>
  <c r="AG43" i="24"/>
  <c r="AJ43" i="24" s="1"/>
  <c r="AG10" i="24"/>
  <c r="AH42" i="24"/>
  <c r="AH35" i="24"/>
  <c r="AH33" i="24"/>
  <c r="AH13" i="24"/>
  <c r="AH39" i="24"/>
  <c r="AH43" i="24"/>
  <c r="AH10" i="24"/>
  <c r="AH38" i="24"/>
  <c r="AH37" i="24"/>
  <c r="AH12" i="24"/>
  <c r="AH21" i="24"/>
  <c r="AH8" i="24"/>
  <c r="AH7" i="24"/>
  <c r="AH6" i="24"/>
  <c r="AH14" i="24"/>
  <c r="AH5" i="24"/>
  <c r="AG42" i="24"/>
  <c r="AG35" i="24"/>
  <c r="AG33" i="24"/>
  <c r="AG13" i="24"/>
  <c r="AG39" i="24"/>
  <c r="AJ10" i="24" l="1"/>
  <c r="AJ32" i="24"/>
  <c r="AJ41" i="24" l="1"/>
  <c r="AH41" i="24"/>
  <c r="AI41" i="24"/>
  <c r="AH11" i="24" l="1"/>
  <c r="AI11" i="24"/>
  <c r="AJ11" i="24"/>
  <c r="AI37" i="24"/>
  <c r="AH34" i="24"/>
  <c r="AI34" i="24"/>
  <c r="AI12" i="24"/>
  <c r="AJ12" i="24"/>
  <c r="AG11" i="24"/>
  <c r="AG37" i="24"/>
  <c r="AG12" i="24"/>
  <c r="AG7" i="24"/>
  <c r="AG21" i="24"/>
  <c r="AG14" i="24"/>
  <c r="AJ37" i="24" l="1"/>
  <c r="AG34" i="24" l="1"/>
  <c r="AG8" i="24"/>
  <c r="AJ8" i="24" s="1"/>
  <c r="AG5" i="24"/>
  <c r="AJ5" i="24" s="1"/>
  <c r="AJ34" i="24" l="1"/>
  <c r="E50" i="25" l="1"/>
  <c r="E48" i="25"/>
  <c r="E49" i="25"/>
  <c r="E47" i="25"/>
  <c r="E46" i="25"/>
  <c r="E45" i="25"/>
  <c r="E43" i="25"/>
  <c r="AI18" i="24"/>
  <c r="AH18" i="24"/>
  <c r="AG18" i="24"/>
  <c r="E42" i="25" l="1"/>
  <c r="E41" i="25"/>
  <c r="D53" i="25"/>
  <c r="E44" i="25"/>
  <c r="C53" i="25"/>
  <c r="C53" i="29"/>
  <c r="C55" i="29"/>
  <c r="D53" i="29"/>
  <c r="D55" i="29"/>
  <c r="AI2" i="24"/>
  <c r="AH2" i="24"/>
  <c r="F2" i="24"/>
  <c r="F44" i="24" s="1"/>
  <c r="AH24" i="24"/>
  <c r="AH22" i="24"/>
  <c r="AJ36" i="24"/>
  <c r="AJ4" i="24"/>
  <c r="AJ3" i="24"/>
  <c r="AJ2" i="24"/>
  <c r="AJ17" i="24"/>
  <c r="AJ26" i="24"/>
  <c r="AJ19" i="24"/>
  <c r="AJ27" i="24"/>
  <c r="AJ23" i="24"/>
  <c r="AJ28" i="24"/>
  <c r="AG22" i="24"/>
  <c r="AJ22" i="24" s="1"/>
  <c r="AG19" i="24"/>
  <c r="AG15" i="24"/>
  <c r="AI15" i="24"/>
  <c r="AI29" i="24"/>
  <c r="AI28" i="24"/>
  <c r="AI26" i="24"/>
  <c r="AI22" i="24"/>
  <c r="AI19" i="24"/>
  <c r="AI35" i="24"/>
  <c r="AI27" i="24"/>
  <c r="AI36" i="24"/>
  <c r="AI4" i="24"/>
  <c r="AI24" i="24"/>
  <c r="AH4" i="24"/>
  <c r="AG4" i="24"/>
  <c r="E53" i="25" l="1"/>
  <c r="E53" i="29"/>
  <c r="E55" i="29"/>
  <c r="D40" i="25"/>
  <c r="D55" i="25" s="1"/>
  <c r="AG2" i="24"/>
  <c r="C40" i="25"/>
  <c r="C55" i="25" s="1"/>
  <c r="AH29" i="24" l="1"/>
  <c r="AH28" i="24"/>
  <c r="AH26" i="24"/>
  <c r="AH36" i="24"/>
  <c r="AH27" i="24"/>
  <c r="AH15" i="24"/>
  <c r="AH19" i="24"/>
  <c r="AG29" i="24"/>
  <c r="AG36" i="24" l="1"/>
  <c r="AG24" i="24"/>
  <c r="AG28" i="24"/>
  <c r="AG27" i="24"/>
  <c r="AJ35" i="24"/>
  <c r="AG26" i="24"/>
  <c r="E28" i="25" l="1"/>
  <c r="O15" i="18"/>
  <c r="O29" i="18"/>
  <c r="O18" i="18"/>
  <c r="O14" i="18"/>
  <c r="O22" i="18"/>
  <c r="O25" i="18"/>
  <c r="O26" i="18"/>
  <c r="O27" i="18"/>
  <c r="O20" i="18"/>
  <c r="O8" i="18"/>
  <c r="O3" i="18"/>
  <c r="O21" i="18"/>
  <c r="O24" i="18"/>
  <c r="O16" i="18"/>
  <c r="E38" i="25" l="1"/>
  <c r="E36" i="25"/>
  <c r="E34" i="25"/>
  <c r="E32" i="25"/>
  <c r="E30" i="25"/>
  <c r="E39" i="25"/>
  <c r="E37" i="25"/>
  <c r="E35" i="25"/>
  <c r="E33" i="25"/>
  <c r="E31" i="25"/>
  <c r="E29" i="25"/>
  <c r="E40" i="25" l="1"/>
  <c r="E55" i="25" s="1"/>
  <c r="B58" i="25" s="1"/>
  <c r="B60" i="25" s="1"/>
  <c r="B59" i="25" l="1"/>
  <c r="B4" i="26"/>
  <c r="O10" i="18"/>
  <c r="O4" i="18"/>
  <c r="O19" i="18" l="1"/>
  <c r="O30" i="18" l="1"/>
  <c r="O12" i="18"/>
  <c r="O7" i="18"/>
  <c r="O13" i="18"/>
  <c r="O6" i="18"/>
  <c r="O11" i="18"/>
  <c r="O5" i="18"/>
  <c r="O17" i="18"/>
  <c r="O31" i="18"/>
  <c r="O9" i="18"/>
  <c r="O28" i="18"/>
  <c r="O23" i="18"/>
  <c r="O2" i="18"/>
  <c r="B21" i="17" l="1"/>
  <c r="B20" i="17"/>
  <c r="B19" i="17"/>
  <c r="B18" i="17"/>
  <c r="F42" i="8" l="1"/>
  <c r="C4" i="26" l="1"/>
  <c r="B3" i="26" l="1"/>
  <c r="C3" i="26" l="1"/>
  <c r="C2" i="26" l="1"/>
  <c r="C7" i="26" s="1"/>
  <c r="B2" i="26" l="1"/>
  <c r="B7" i="26" s="1"/>
  <c r="H9" i="24" l="1"/>
  <c r="AI9" i="24" s="1"/>
  <c r="G9" i="24" l="1"/>
  <c r="H3" i="24"/>
  <c r="AG9" i="24" l="1"/>
  <c r="AH9" i="24"/>
  <c r="AI3" i="24"/>
  <c r="G3" i="24" l="1"/>
  <c r="AH3" i="24" l="1"/>
  <c r="AG3" i="24"/>
  <c r="H20" i="24" l="1"/>
  <c r="AI20" i="24" s="1"/>
  <c r="H23" i="24"/>
  <c r="AI23" i="24" s="1"/>
  <c r="H16" i="24" l="1"/>
  <c r="H17" i="24"/>
  <c r="AI17" i="24" s="1"/>
  <c r="AI16" i="24" l="1"/>
  <c r="AI44" i="24" s="1"/>
  <c r="H44" i="24"/>
  <c r="G16" i="24" l="1"/>
  <c r="G20" i="24"/>
  <c r="G17" i="24"/>
  <c r="G23" i="24"/>
  <c r="AH23" i="24" l="1"/>
  <c r="AG23" i="24"/>
  <c r="AH17" i="24"/>
  <c r="AG17" i="24"/>
  <c r="AG16" i="24"/>
  <c r="AH16" i="24"/>
  <c r="G44" i="24"/>
  <c r="AG20" i="24"/>
  <c r="AJ20" i="24" s="1"/>
  <c r="AJ44" i="24" s="1"/>
  <c r="AH20" i="24"/>
  <c r="AH44" i="24" l="1"/>
  <c r="AG44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tc={605C0489-814A-46BB-A232-52CDF5985DA5}</author>
  </authors>
  <commentList>
    <comment ref="B14" authorId="0" shapeId="0" xr:uid="{605C0489-814A-46BB-A232-52CDF5985D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MÉDIA DOS SALDOS</t>
      </text>
    </comment>
  </commentList>
</comments>
</file>

<file path=xl/sharedStrings.xml><?xml version="1.0" encoding="utf-8"?>
<sst xmlns="http://schemas.openxmlformats.org/spreadsheetml/2006/main" count="805" uniqueCount="326">
  <si>
    <t>TOTAL =</t>
  </si>
  <si>
    <t>COE</t>
  </si>
  <si>
    <t>MODALIDADES</t>
  </si>
  <si>
    <t>CDB</t>
  </si>
  <si>
    <t>Étiquettes de lignes</t>
  </si>
  <si>
    <t>Total général</t>
  </si>
  <si>
    <t>CRA</t>
  </si>
  <si>
    <t>No. Aplicações</t>
  </si>
  <si>
    <t>LCA</t>
  </si>
  <si>
    <t>LCI</t>
  </si>
  <si>
    <t>G2DI33</t>
  </si>
  <si>
    <t>VIIA3</t>
  </si>
  <si>
    <t>BDIF11</t>
  </si>
  <si>
    <t>VALE3</t>
  </si>
  <si>
    <t>ISS (SP)</t>
  </si>
  <si>
    <t>Mínimo =</t>
  </si>
  <si>
    <t>Máximo =</t>
  </si>
  <si>
    <t>Média =</t>
  </si>
  <si>
    <t>Janeiro</t>
  </si>
  <si>
    <t>Fevereiro</t>
  </si>
  <si>
    <t>Vendas à vista</t>
  </si>
  <si>
    <t>Data pregão</t>
  </si>
  <si>
    <t>Data conta investimento</t>
  </si>
  <si>
    <t>Compras à vista</t>
  </si>
  <si>
    <t>Valor das operações</t>
  </si>
  <si>
    <t>Valor líquido das operações</t>
  </si>
  <si>
    <t>Taxa de liquidação</t>
  </si>
  <si>
    <t xml:space="preserve">Total CBLC </t>
  </si>
  <si>
    <t>Emoluentos</t>
  </si>
  <si>
    <t>Clearing</t>
  </si>
  <si>
    <t>IRPF</t>
  </si>
  <si>
    <t>Líquido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</si>
  <si>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</si>
  <si>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</si>
  <si>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</si>
  <si>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</si>
  <si>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</si>
  <si>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</si>
  <si>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</si>
  <si>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</si>
  <si>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</si>
  <si>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</si>
  <si>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Total corretagem / Despesas</t>
  </si>
  <si>
    <t>JAN.</t>
  </si>
  <si>
    <t>FEV.</t>
  </si>
  <si>
    <t>MAR.</t>
  </si>
  <si>
    <t>ABR.</t>
  </si>
  <si>
    <t>MAIO</t>
  </si>
  <si>
    <t>JUN.</t>
  </si>
  <si>
    <t>JUL.</t>
  </si>
  <si>
    <t>AGO.</t>
  </si>
  <si>
    <t>SET.</t>
  </si>
  <si>
    <t>OUT.</t>
  </si>
  <si>
    <t>NOV.</t>
  </si>
  <si>
    <t>DEZ.</t>
  </si>
  <si>
    <t>ARZZ3</t>
  </si>
  <si>
    <t>RENT3</t>
  </si>
  <si>
    <t>ELET6</t>
  </si>
  <si>
    <t>WEGE3</t>
  </si>
  <si>
    <t>PRIO3</t>
  </si>
  <si>
    <t>BBSE3</t>
  </si>
  <si>
    <t>EQTL3</t>
  </si>
  <si>
    <t>ITUB4</t>
  </si>
  <si>
    <t>BEEF3</t>
  </si>
  <si>
    <t>CÓDIGO</t>
  </si>
  <si>
    <t>RADL3</t>
  </si>
  <si>
    <t>BBAS3</t>
  </si>
  <si>
    <t>EMBR3</t>
  </si>
  <si>
    <t>SMTO3</t>
  </si>
  <si>
    <t xml:space="preserve">OBSERVAÇÕES: </t>
  </si>
  <si>
    <t>1. Aquisição e resgaste de cotas bem como vencimento de aplicações NÃO precisam ser transplantados para esta aba, pois já fazem parte da variação patrimonial.</t>
  </si>
  <si>
    <t>2. O mesmo se dá para pagamentos de CUPONS de CDBs, pois já fazem parte dos lançados como retiradas ou novas aplicações. Todavia, o IRPF associado a estes cupons deve ser lançado na aba, pois sai da minha conta para pagamento à Receita.</t>
  </si>
  <si>
    <t>LIGHT - LIGHA5 (IPCA + 3,80%)</t>
  </si>
  <si>
    <t>LIGHT - LIGHA5 (IPCA + 4,05%)</t>
  </si>
  <si>
    <t>JULHO BRUTO</t>
  </si>
  <si>
    <t>RAIZ4</t>
  </si>
  <si>
    <t>SBSP3</t>
  </si>
  <si>
    <t>MULT3</t>
  </si>
  <si>
    <t>B3SA3</t>
  </si>
  <si>
    <t>SMFT3</t>
  </si>
  <si>
    <t>CIEL3</t>
  </si>
  <si>
    <t>SUZB3</t>
  </si>
  <si>
    <t>RAIL3</t>
  </si>
  <si>
    <t>RDOR3</t>
  </si>
  <si>
    <t>LREN3</t>
  </si>
  <si>
    <t>OK</t>
  </si>
  <si>
    <t>MRVE3</t>
  </si>
  <si>
    <t>VBBR3</t>
  </si>
  <si>
    <t>PTR4</t>
  </si>
  <si>
    <t>AGOSTO BRUTO</t>
  </si>
  <si>
    <t>DEZEMBRO BRUTO</t>
  </si>
  <si>
    <t>JANEIRO BRUTO</t>
  </si>
  <si>
    <t>JUNHO BRUTO</t>
  </si>
  <si>
    <t>MAIO BRUTO</t>
  </si>
  <si>
    <t>RENDA FIXA</t>
  </si>
  <si>
    <t>RENDA VARIÁVEL</t>
  </si>
  <si>
    <t>FUNDOS DE INVESTIMENTO</t>
  </si>
  <si>
    <t>ACS JGP STRATEGY FIC FIM</t>
  </si>
  <si>
    <t>SETEMBRO BRUTO</t>
  </si>
  <si>
    <t>OUTUBRO BRUTO</t>
  </si>
  <si>
    <t>NOVEMBRO BRUTO</t>
  </si>
  <si>
    <t>MERCADO</t>
  </si>
  <si>
    <t>MODALIDADE</t>
  </si>
  <si>
    <t>FEVEREIRO BRUTO</t>
  </si>
  <si>
    <t>ABRIL BRUTO</t>
  </si>
  <si>
    <t>MESES</t>
  </si>
  <si>
    <t>JANEIRO</t>
  </si>
  <si>
    <t>FEVEREIRO</t>
  </si>
  <si>
    <t>MARÇO</t>
  </si>
  <si>
    <t>ABRIL</t>
  </si>
  <si>
    <t>JUNHO</t>
  </si>
  <si>
    <t>JULHO</t>
  </si>
  <si>
    <t>AGOSTO</t>
  </si>
  <si>
    <t>SETEMBRO</t>
  </si>
  <si>
    <t>OUTUBRO</t>
  </si>
  <si>
    <t>NOVEMBRO</t>
  </si>
  <si>
    <t>DEZEMBRO</t>
  </si>
  <si>
    <t>INVESTIMENTOS FI</t>
  </si>
  <si>
    <t>INVESTIMENTOS COE</t>
  </si>
  <si>
    <t>AÇÕES</t>
  </si>
  <si>
    <t>FUNDOS IMOBILIÁRIOS</t>
  </si>
  <si>
    <t>CARTEIRAS RECOMENDADAS</t>
  </si>
  <si>
    <t>ALUGUEL DE AÇÕES</t>
  </si>
  <si>
    <t>DEBÊNTURES</t>
  </si>
  <si>
    <t>ACS OCCAM EQ FIC</t>
  </si>
  <si>
    <t>BTG DIGIT FI CAMBIAL</t>
  </si>
  <si>
    <t>BTGP S&amp;P 500 BRL FIM</t>
  </si>
  <si>
    <t>BTG PACTUAL 106% CDIE</t>
  </si>
  <si>
    <t>BTG PACTUAL 103% CDIE</t>
  </si>
  <si>
    <t>INVESTIMENTOS LCA</t>
  </si>
  <si>
    <t>JUROS</t>
  </si>
  <si>
    <t>TAXA EMPRÉSTIMO</t>
  </si>
  <si>
    <t>RENDIMENTOS</t>
  </si>
  <si>
    <t>DIVIDENDOS</t>
  </si>
  <si>
    <t>CUPONS</t>
  </si>
  <si>
    <t>CONTA REMUNERADA</t>
  </si>
  <si>
    <t>RETIRADAS</t>
  </si>
  <si>
    <t xml:space="preserve">ACS GENOA FIC FIM </t>
  </si>
  <si>
    <t>DATA COMPRA</t>
  </si>
  <si>
    <t>DATA VENCIMENTO</t>
  </si>
  <si>
    <t>MÊS</t>
  </si>
  <si>
    <t>NOTAS PREGÃO</t>
  </si>
  <si>
    <t>TOTAL</t>
  </si>
  <si>
    <t>AQUISIÇÃO DE COTAS</t>
  </si>
  <si>
    <t>COMPRA DE INVESTIMENTOS</t>
  </si>
  <si>
    <t>DEPÓSITOS EM C/C</t>
  </si>
  <si>
    <t>CORRETO</t>
  </si>
  <si>
    <t>BTG PACTUAL 150% CDIE</t>
  </si>
  <si>
    <t>INVESTIMENTOS CDB</t>
  </si>
  <si>
    <t>VENCIMENTO DE INVESTIMENTOS</t>
  </si>
  <si>
    <t>VENDA DE INVESTIMENTOS</t>
  </si>
  <si>
    <t>DESPESAS DE CORRETAGEM</t>
  </si>
  <si>
    <t>BTG PACTUAL 104% CDIE</t>
  </si>
  <si>
    <t>MOAT EQUITY CAP PCO</t>
  </si>
  <si>
    <t xml:space="preserve">DAHLIA FIC FIM PCO </t>
  </si>
  <si>
    <t>RENTABILIDADE MENSAL MÉDIA</t>
  </si>
  <si>
    <t>RENTABILIDADE TOTAL</t>
  </si>
  <si>
    <t>ARX ELBRUS DEB INCENTIVADAS FIM CP</t>
  </si>
  <si>
    <t>CAPITAL INICIAL INVESTIDO</t>
  </si>
  <si>
    <t>RUMO S.A. - RUMOA5</t>
  </si>
  <si>
    <t>LIGHT - LIGHD2 (IPCA + 4,75%)</t>
  </si>
  <si>
    <t>COBRANÇA DE TAXAS</t>
  </si>
  <si>
    <t>INVESTIMENTOS CRA</t>
  </si>
  <si>
    <t>SALDO ATUAL</t>
  </si>
  <si>
    <t>SALDO ATUAL ENTRADAS</t>
  </si>
  <si>
    <t>SALDO ATUAL SAÍDAS</t>
  </si>
  <si>
    <t>JANEIRO ENTRADA</t>
  </si>
  <si>
    <t>JANEIRO SAÍDA</t>
  </si>
  <si>
    <t>FEVEREIRO ENTRADA</t>
  </si>
  <si>
    <t>FEVEREIRO SAÍDA</t>
  </si>
  <si>
    <t>MARÇO ENTRADA</t>
  </si>
  <si>
    <t>MARÇO SAÍDA</t>
  </si>
  <si>
    <t>ABRIL ENTRADA</t>
  </si>
  <si>
    <t>ABRIL SAÍDA</t>
  </si>
  <si>
    <t>MAIO ENTRADA</t>
  </si>
  <si>
    <t>MAIO SAÍDA</t>
  </si>
  <si>
    <t>JUNHO ENTRADA</t>
  </si>
  <si>
    <t>JUNHO SAÍDA</t>
  </si>
  <si>
    <t>JULHO ENTRADA</t>
  </si>
  <si>
    <t>JULHO SAÍDA</t>
  </si>
  <si>
    <t>AGOSTO ENTRADA</t>
  </si>
  <si>
    <t>AGOSTO SAÍDA</t>
  </si>
  <si>
    <t>SETEMBRO ENTRADA</t>
  </si>
  <si>
    <t>SETEMBRO SAÍDA</t>
  </si>
  <si>
    <t>OUTUBRO ENTRADA</t>
  </si>
  <si>
    <t>OUTUBRO SAÍDA</t>
  </si>
  <si>
    <t>NOVEMBRO ENTRADA</t>
  </si>
  <si>
    <t>NOVEMBRO SAÍDA</t>
  </si>
  <si>
    <t>DEZEMBRO ENTRADA</t>
  </si>
  <si>
    <t>DEZEMBRO SAÍDA</t>
  </si>
  <si>
    <t>NOVO SALDO ENTRADAS</t>
  </si>
  <si>
    <t>NOVO SALDO SAÍDAS</t>
  </si>
  <si>
    <t>IRRF</t>
  </si>
  <si>
    <t>RENTABILIDADE ANUAL MÉDIA</t>
  </si>
  <si>
    <t xml:space="preserve">TOTAL = </t>
  </si>
  <si>
    <t>CAPITAL INICIAL  INVESTIDO</t>
  </si>
  <si>
    <t>G2DI33 - G2D INVEST DR3</t>
  </si>
  <si>
    <t>BDIF11 - FIC INFR BTGCI ER</t>
  </si>
  <si>
    <t>BANCO SEGURO</t>
  </si>
  <si>
    <t>GANHOS EFETIVOS</t>
  </si>
  <si>
    <t>BTG PACTUAL 104,25% CDIE</t>
  </si>
  <si>
    <t>PAGAMENTO DE FRAÇÃO</t>
  </si>
  <si>
    <t xml:space="preserve"> </t>
  </si>
  <si>
    <t>PATRIMÔNIO BRUTO</t>
  </si>
  <si>
    <t>SALDO MENSAL ENTRADAS</t>
  </si>
  <si>
    <t>SALDO MENSAL SAÍDAS</t>
  </si>
  <si>
    <t>VARIAÇÃO PATRIMONIAL EFETIVA</t>
  </si>
  <si>
    <t>ANO</t>
  </si>
  <si>
    <t>INVESTIMENTOS LCI</t>
  </si>
  <si>
    <t>RESGATE PARCIAL DE COTAS</t>
  </si>
  <si>
    <t>RESGATE TOTAL DE COTAS</t>
  </si>
  <si>
    <t>IOF</t>
  </si>
  <si>
    <t>28-04-22 / GOLDMAN SACHS (GS0122D4WV8)</t>
  </si>
  <si>
    <t>24-06-20 / CREDIT SUISSE (B80120F3487)</t>
  </si>
  <si>
    <t xml:space="preserve">16-11-21 / BTG (BT1821K44DS) </t>
  </si>
  <si>
    <t>16-03-22 / BTG 100% IPCA</t>
  </si>
  <si>
    <t xml:space="preserve">16-03-22 / BTG 103% CDIE </t>
  </si>
  <si>
    <t xml:space="preserve">23-03-22 / BANCO ORIGINAL (CDB122KMV8Z) </t>
  </si>
  <si>
    <t>30-03-22 / BANCO BOCOM (LCA-22C01154911)</t>
  </si>
  <si>
    <t xml:space="preserve">30-03-22 / BANCO MASTER (CDB122M9N36) </t>
  </si>
  <si>
    <t>16-03-22 / BTG 100% IPCA (CDB122IX1C1)</t>
  </si>
  <si>
    <t xml:space="preserve">28-06-21 / BTG (BT0821F3NXE) </t>
  </si>
  <si>
    <t xml:space="preserve">30-07-21 / BTG (BT0221G3QRZ) </t>
  </si>
  <si>
    <t xml:space="preserve">29-10-21 / CREDIT SUISSE (B80121J42LX) </t>
  </si>
  <si>
    <t xml:space="preserve">16-SET-20 / BTG (BT1120I36XY) </t>
  </si>
  <si>
    <t>10-09-21 / BANCO ORIGINAL (CDB321IZUFY)</t>
  </si>
  <si>
    <t>14-04-22 / BANCO MASTER (CDB2224QT2I)</t>
  </si>
  <si>
    <t>14-04-22 / BTG 102,75% CDIE</t>
  </si>
  <si>
    <t>10-05-22 / BTG (CDB222CDBRJ)</t>
  </si>
  <si>
    <t>13-05-22 / BANCO ORIGINAL (LCI-22E00745661)</t>
  </si>
  <si>
    <t>02-03-22 / BTG (LCA-22C00023609)</t>
  </si>
  <si>
    <t>14-01-22 / RABOBANK 96,5% CDIE</t>
  </si>
  <si>
    <t>24-01-22 / BTG (LCI-22A00845594)</t>
  </si>
  <si>
    <t>24-05-22 / RABOBANK (LCA-22E01052599)</t>
  </si>
  <si>
    <t>31-03-22 / BTG (BT0522C4PCL)</t>
  </si>
  <si>
    <t>30-07-21 / BTG (BT0221G3QRZ)</t>
  </si>
  <si>
    <t>20-JUL-20 / BTG (BT0520G34Q7)</t>
  </si>
  <si>
    <t xml:space="preserve">01-SET-20 / BTG (BT5620I36B4) </t>
  </si>
  <si>
    <t xml:space="preserve">21-03-22 / BANCO OURINVEST (CDB122JY1V1) </t>
  </si>
  <si>
    <t>21-02-22 / BTG (LCA-22B00556338)</t>
  </si>
  <si>
    <t>05-05-22 / BANCO FIDIS (LCI-22E00495817)</t>
  </si>
  <si>
    <t>30-03-22 / BNP PARIBAS (PB0122C4OWI)</t>
  </si>
  <si>
    <t>INVESTIMENTOS CARTEIRAS RECOMENDADAS</t>
  </si>
  <si>
    <t>01-11-22 / COOPERATIVA (LCA-22K00018947)</t>
  </si>
  <si>
    <t>22-11-22 / COOPERATIVA (LCA-22K01262726)</t>
  </si>
  <si>
    <t>24-10-22 / SUL AMERICA EXCELLENCE FIRP</t>
  </si>
  <si>
    <t>JANEIRO 2022</t>
  </si>
  <si>
    <t>FEVEREIRO 2022</t>
  </si>
  <si>
    <t>MARÇO 2022</t>
  </si>
  <si>
    <t>ABRIL 2022</t>
  </si>
  <si>
    <t>MAIO 2022</t>
  </si>
  <si>
    <t>JUNHO 2022</t>
  </si>
  <si>
    <t>JULHO 2022</t>
  </si>
  <si>
    <t>AGOSTO 2022</t>
  </si>
  <si>
    <t>SETEMBRO 2022</t>
  </si>
  <si>
    <t>OUTUBRO 2022</t>
  </si>
  <si>
    <t>NOVEMBRO 2022</t>
  </si>
  <si>
    <t>DEZEMBRO 2022</t>
  </si>
  <si>
    <t>TOTAL 2022</t>
  </si>
  <si>
    <t>TOTAL GERAL</t>
  </si>
  <si>
    <t>TESOURO SIMPLES RF</t>
  </si>
  <si>
    <t>MÁXIMA =</t>
  </si>
  <si>
    <t>MÍNIMA =</t>
  </si>
  <si>
    <t>MÉDIA =</t>
  </si>
  <si>
    <t>JANEIRO 2023</t>
  </si>
  <si>
    <t>FEVEREIRO 2023</t>
  </si>
  <si>
    <t>MARÇO 2023</t>
  </si>
  <si>
    <t>ABRIL 2023</t>
  </si>
  <si>
    <t>MAIO 2023</t>
  </si>
  <si>
    <t>JUNHO 2023</t>
  </si>
  <si>
    <t>JULHO 2023</t>
  </si>
  <si>
    <t>AGOSTO 2023</t>
  </si>
  <si>
    <t>SETEMBRO 2023</t>
  </si>
  <si>
    <t>OUTUBRO 2023</t>
  </si>
  <si>
    <t>NOVEMBRO 2023</t>
  </si>
  <si>
    <t>DEZEMBRO 2023</t>
  </si>
  <si>
    <t>22-11-22 / RIZA LOTUS FI</t>
  </si>
  <si>
    <t>30-03-22 / ACCESS KAPITALO K10</t>
  </si>
  <si>
    <t>25-05-22 / LEGACY CAPITAL FIC</t>
  </si>
  <si>
    <t>TOTAL 2023</t>
  </si>
  <si>
    <t>31-03-22 / GLD UP (BT0122C4PC1)</t>
  </si>
  <si>
    <t>02-03-23 / BTG CDB PLUS FI</t>
  </si>
  <si>
    <t>30-03-23 / BANCO DIGIMAIS (CDB123TMUHH)</t>
  </si>
  <si>
    <t>30-03-23 / BTG (LCA-23C02705202)</t>
  </si>
  <si>
    <t>02-03-23 / BANCO VOITER (LCA-23C00117173)</t>
  </si>
  <si>
    <t>30-03-23 / BANCO VOTORANTIM (LCA-23C02714265)</t>
  </si>
  <si>
    <t>16-03-2023</t>
  </si>
  <si>
    <t>22-11-22 / BANCO ARBI (CDB422GU5YV)</t>
  </si>
  <si>
    <t>GANHO EFETIVO</t>
  </si>
  <si>
    <t>05-10-23 / BTG (LCA-23J01085256)</t>
  </si>
  <si>
    <t>VALOR LÍQUIDO</t>
  </si>
  <si>
    <t>02-06-22 / VAMOS ECO SECURITIZADORA (CRA022004MS)</t>
  </si>
  <si>
    <t>30-03-21 / TEREOS ACUCAR E ENERGIA (CRA021000MF)</t>
  </si>
  <si>
    <t>Somme de NOVEMBRO BRUTO</t>
  </si>
  <si>
    <t>Somme de NOVEMBRO LÍQUIDO</t>
  </si>
  <si>
    <t>PATRIMÔNIO BRUTO MÉDIO</t>
  </si>
  <si>
    <t xml:space="preserve">RENTABILIDADE TOTAL </t>
  </si>
  <si>
    <t>RENTABILIDADE ANUAL</t>
  </si>
  <si>
    <t>RENTABILIDADE MENSAL</t>
  </si>
  <si>
    <t>Somme de DEZEMBRO BRUTO</t>
  </si>
  <si>
    <t>Somme de DEZEMBRO LÍQUIDO</t>
  </si>
  <si>
    <t>REPRESENTATIVIDADE</t>
  </si>
  <si>
    <t>CESTA DE ACOES / 10SIM</t>
  </si>
  <si>
    <t>21-03-22 / BANCO MASTER (CDB122JY2EY)</t>
  </si>
  <si>
    <t>BAIXADO</t>
  </si>
  <si>
    <t>DEBENTURES</t>
  </si>
  <si>
    <t>INVESTIMENTOS FUNDOS IMOBILIARIOS</t>
  </si>
  <si>
    <t>TIPOS LANCAMENTO CC</t>
  </si>
  <si>
    <t>INVESTIMENTOS ACOES</t>
  </si>
  <si>
    <t>BHIA3</t>
  </si>
  <si>
    <t>10SIM</t>
  </si>
  <si>
    <t>JANEIRO LIQUIDO</t>
  </si>
  <si>
    <t>FEVEREIRO LIQUIDO</t>
  </si>
  <si>
    <t>ABRIL LIQUIDO</t>
  </si>
  <si>
    <t>MAIO LIQUIDO</t>
  </si>
  <si>
    <t>JUNHO LIQUIDO</t>
  </si>
  <si>
    <t>JULHO LIQUIDO</t>
  </si>
  <si>
    <t>AGOSTO LIQUIDO</t>
  </si>
  <si>
    <t>SETEMBRO LIQUIDO</t>
  </si>
  <si>
    <t>OUTUBRO LIQUIDO</t>
  </si>
  <si>
    <t>NOVEMBRO LIQUIDO</t>
  </si>
  <si>
    <t>DEZEMBRO LIQUIDO</t>
  </si>
  <si>
    <t>MARCO BRUTO</t>
  </si>
  <si>
    <t>MARCO LIQUIDO</t>
  </si>
  <si>
    <t>ACOES</t>
  </si>
  <si>
    <t>DESCRICAO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</si>
</sst>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[$]dd/mm/yyyy;@" x16r2:formatCode16="[$-fr-BR,1]dd/mm/yyyy;@"/>
    <numFmt numFmtId="169" formatCode="&quot;R$&quot;#,##0.00"/>
    <numFmt numFmtId="170" formatCode="[$-416]d\-mmm\-yy;@"/>
    <numFmt numFmtId="171" formatCode="[$]dd\-mm\-yy;@" x16r2:formatCode16="[$-fr-BR,1]dd\-mm\-yy;@"/>
    <numFmt numFmtId="172" formatCode="&quot;R$&quot;\ #,##0.00"/>
    <numFmt numFmtId="173" formatCode="0.0%"/>
  </numFmts>
  <fonts count="65" x14ac:knownFonts="1">
    <font>
      <sz val="9"/>
      <color theme="1" tint="0.24994659260841701"/>
      <name val="Microsoft Sans Serif"/>
      <family val="2"/>
      <scheme val="minor"/>
    </font>
    <font>
      <sz val="12"/>
      <color theme="1"/>
      <name val="Microsoft Sans Serif"/>
      <family val="2"/>
      <scheme val="minor"/>
    </font>
    <font>
      <sz val="11"/>
      <color theme="1"/>
      <name val="Microsoft Sans Serif"/>
      <family val="2"/>
      <scheme val="minor"/>
    </font>
    <font>
      <b/>
      <sz val="22"/>
      <color theme="1" tint="0.24994659260841701"/>
      <name val="Franklin Gothic Book"/>
      <family val="2"/>
      <scheme val="major"/>
    </font>
    <font>
      <sz val="11"/>
      <color theme="1" tint="0.24994659260841701"/>
      <name val="Franklin Gothic Book"/>
      <family val="2"/>
      <scheme val="major"/>
    </font>
    <font>
      <b/>
      <sz val="10"/>
      <color theme="2"/>
      <name val="Franklin Gothic Book"/>
      <family val="2"/>
      <scheme val="major"/>
    </font>
    <font>
      <i/>
      <sz val="11"/>
      <color theme="3" tint="0.79998168889431442"/>
      <name val="Microsoft Sans Serif"/>
      <family val="2"/>
      <scheme val="minor"/>
    </font>
    <font>
      <sz val="9"/>
      <color theme="1"/>
      <name val="Microsoft Sans Serif"/>
      <family val="2"/>
      <scheme val="minor"/>
    </font>
    <font>
      <b/>
      <sz val="16"/>
      <color theme="0"/>
      <name val="Franklin Gothic Book"/>
      <family val="2"/>
      <scheme val="major"/>
    </font>
    <font>
      <sz val="9"/>
      <color theme="1" tint="0.24994659260841701"/>
      <name val="Microsoft Sans Serif"/>
      <family val="2"/>
      <scheme val="minor"/>
    </font>
    <font>
      <sz val="18"/>
      <color theme="3"/>
      <name val="Franklin Gothic Book"/>
      <family val="2"/>
      <scheme val="major"/>
    </font>
    <font>
      <sz val="11"/>
      <color rgb="FF006100"/>
      <name val="Microsoft Sans Serif"/>
      <family val="2"/>
      <scheme val="minor"/>
    </font>
    <font>
      <sz val="11"/>
      <color rgb="FF9C0006"/>
      <name val="Microsoft Sans Serif"/>
      <family val="2"/>
      <scheme val="minor"/>
    </font>
    <font>
      <sz val="11"/>
      <color rgb="FF9C5700"/>
      <name val="Microsoft Sans Serif"/>
      <family val="2"/>
      <scheme val="minor"/>
    </font>
    <font>
      <sz val="11"/>
      <color rgb="FF3F3F76"/>
      <name val="Microsoft Sans Serif"/>
      <family val="2"/>
      <scheme val="minor"/>
    </font>
    <font>
      <b/>
      <sz val="11"/>
      <color rgb="FF3F3F3F"/>
      <name val="Microsoft Sans Serif"/>
      <family val="2"/>
      <scheme val="minor"/>
    </font>
    <font>
      <b/>
      <sz val="11"/>
      <color rgb="FFFA7D00"/>
      <name val="Microsoft Sans Serif"/>
      <family val="2"/>
      <scheme val="minor"/>
    </font>
    <font>
      <sz val="11"/>
      <color rgb="FFFA7D00"/>
      <name val="Microsoft Sans Serif"/>
      <family val="2"/>
      <scheme val="minor"/>
    </font>
    <font>
      <b/>
      <sz val="11"/>
      <color theme="0"/>
      <name val="Microsoft Sans Serif"/>
      <family val="2"/>
      <scheme val="minor"/>
    </font>
    <font>
      <sz val="11"/>
      <color rgb="FFFF0000"/>
      <name val="Microsoft Sans Serif"/>
      <family val="2"/>
      <scheme val="minor"/>
    </font>
    <font>
      <b/>
      <sz val="11"/>
      <color theme="1"/>
      <name val="Microsoft Sans Serif"/>
      <family val="2"/>
      <scheme val="minor"/>
    </font>
    <font>
      <sz val="11"/>
      <color theme="0"/>
      <name val="Microsoft Sans Serif"/>
      <family val="2"/>
      <scheme val="minor"/>
    </font>
    <font>
      <sz val="8"/>
      <name val="Microsoft Sans Serif"/>
      <family val="2"/>
      <scheme val="minor"/>
    </font>
    <font>
      <sz val="10"/>
      <name val="Arial"/>
      <family val="2"/>
    </font>
    <font>
      <sz val="9"/>
      <color theme="1" tint="0.14999847407452621"/>
      <name val="Microsoft Sans Serif"/>
      <family val="2"/>
      <scheme val="minor"/>
    </font>
    <font>
      <sz val="11"/>
      <color indexed="8"/>
      <name val="Microsoft Sans Serif"/>
      <family val="2"/>
      <scheme val="minor"/>
    </font>
    <font>
      <b/>
      <sz val="14"/>
      <color indexed="8"/>
      <name val="Microsoft Sans Serif"/>
      <family val="2"/>
      <scheme val="minor"/>
    </font>
    <font>
      <b/>
      <sz val="11"/>
      <color indexed="8"/>
      <name val="Microsoft Sans Serif"/>
      <family val="2"/>
      <scheme val="minor"/>
    </font>
    <font>
      <sz val="9"/>
      <color rgb="FFFF0000"/>
      <name val="Microsoft Sans Serif"/>
      <family val="2"/>
      <scheme val="minor"/>
    </font>
    <font>
      <sz val="14"/>
      <color theme="1" tint="0.24994659260841701"/>
      <name val="Arial"/>
      <family val="2"/>
    </font>
    <font>
      <b/>
      <sz val="14"/>
      <color theme="1" tint="0.24994659260841701"/>
      <name val="Arial"/>
      <family val="2"/>
    </font>
    <font>
      <sz val="12"/>
      <name val="Tahoma"/>
      <family val="2"/>
    </font>
    <font>
      <b/>
      <sz val="14"/>
      <color rgb="FFFFFFFF"/>
      <name val="Tahoma"/>
      <family val="2"/>
    </font>
    <font>
      <b/>
      <sz val="12"/>
      <color rgb="FFFFFFFF"/>
      <name val="Tahoma"/>
      <family val="2"/>
    </font>
    <font>
      <b/>
      <sz val="12"/>
      <name val="Tahoma"/>
      <family val="2"/>
    </font>
    <font>
      <b/>
      <sz val="16"/>
      <color theme="1"/>
      <name val="Microsoft Sans Serif"/>
      <family val="2"/>
      <scheme val="minor"/>
    </font>
    <font>
      <sz val="12"/>
      <color theme="1" tint="0.24994659260841701"/>
      <name val="Microsoft Sans Serif"/>
      <family val="2"/>
      <scheme val="minor"/>
    </font>
    <font>
      <b/>
      <sz val="12"/>
      <color theme="1" tint="0.24994659260841701"/>
      <name val="Tahoma"/>
      <family val="2"/>
    </font>
    <font>
      <b/>
      <sz val="12"/>
      <color theme="3"/>
      <name val="Microsoft Sans Serif"/>
      <family val="2"/>
      <scheme val="minor"/>
    </font>
    <font>
      <b/>
      <sz val="9"/>
      <color theme="3"/>
      <name val="Microsoft Sans Serif"/>
      <family val="2"/>
      <scheme val="minor"/>
    </font>
    <font>
      <sz val="9"/>
      <color theme="3"/>
      <name val="Microsoft Sans Serif"/>
      <family val="2"/>
      <scheme val="minor"/>
    </font>
    <font>
      <b/>
      <sz val="12"/>
      <color theme="1"/>
      <name val="Tahoma"/>
      <family val="2"/>
    </font>
    <font>
      <b/>
      <sz val="11"/>
      <color rgb="FFFFFFFF"/>
      <name val="Tahoma"/>
      <family val="2"/>
    </font>
    <font>
      <b/>
      <sz val="12"/>
      <color rgb="FF000000"/>
      <name val="Microsoft Sans Serif"/>
      <family val="2"/>
    </font>
    <font>
      <b/>
      <sz val="11"/>
      <color rgb="FF7030A0"/>
      <name val="Microsoft Sans Serif"/>
      <family val="2"/>
      <scheme val="minor"/>
    </font>
    <font>
      <b/>
      <sz val="11"/>
      <color rgb="FF00B0F0"/>
      <name val="Microsoft Sans Serif"/>
      <family val="2"/>
      <scheme val="minor"/>
    </font>
    <font>
      <b/>
      <sz val="11"/>
      <color rgb="FF00B050"/>
      <name val="Microsoft Sans Serif"/>
      <family val="2"/>
      <scheme val="minor"/>
    </font>
    <font>
      <b/>
      <sz val="12"/>
      <color rgb="FF00B050"/>
      <name val="Tahoma"/>
      <family val="2"/>
    </font>
    <font>
      <b/>
      <sz val="11"/>
      <name val="Microsoft Sans Serif"/>
      <family val="2"/>
      <scheme val="minor"/>
    </font>
    <font>
      <b/>
      <sz val="14"/>
      <name val="Microsoft Sans Serif"/>
      <family val="2"/>
      <scheme val="minor"/>
    </font>
    <font>
      <b/>
      <sz val="12"/>
      <color rgb="FF7030A0"/>
      <name val="Tahoma"/>
      <family val="2"/>
    </font>
    <font>
      <b/>
      <sz val="9"/>
      <color theme="1" tint="0.24994659260841701"/>
      <name val="Microsoft Sans Serif"/>
      <family val="2"/>
      <scheme val="minor"/>
    </font>
    <font>
      <b/>
      <sz val="11"/>
      <color theme="1"/>
      <name val="Tahoma"/>
      <family val="2"/>
    </font>
    <font>
      <b/>
      <sz val="11"/>
      <name val="Tahoma"/>
      <family val="2"/>
    </font>
    <font>
      <sz val="11"/>
      <color theme="1"/>
      <name val="Tahoma"/>
      <family val="2"/>
    </font>
    <font>
      <sz val="11"/>
      <name val="Tahoma"/>
      <family val="2"/>
    </font>
    <font>
      <sz val="11"/>
      <color rgb="FF00B050"/>
      <name val="Tahoma"/>
      <family val="2"/>
    </font>
    <font>
      <b/>
      <sz val="14"/>
      <color theme="1" tint="0.24994659260841701"/>
      <name val="Tahoma"/>
      <family val="2"/>
    </font>
    <font>
      <sz val="9"/>
      <color rgb="FF404040"/>
      <name val="Microsoft Sans Serif"/>
      <family val="2"/>
    </font>
    <font>
      <b/>
      <sz val="14"/>
      <color rgb="FF00B050"/>
      <name val="Tahoma"/>
      <family val="2"/>
    </font>
    <font>
      <b/>
      <sz val="18"/>
      <color theme="1" tint="0.24994659260841701"/>
      <name val="Microsoft Sans Serif"/>
      <family val="2"/>
      <scheme val="minor"/>
    </font>
    <font>
      <b/>
      <sz val="12"/>
      <color rgb="FF00B0F0"/>
      <name val="Tahoma"/>
      <family val="2"/>
    </font>
    <font>
      <sz val="14"/>
      <color theme="1" tint="0.24994659260841701"/>
      <name val="Microsoft Sans Serif"/>
      <family val="2"/>
      <scheme val="minor"/>
    </font>
    <font>
      <b/>
      <sz val="14"/>
      <color rgb="FF00B0F0"/>
      <name val="Arial"/>
      <family val="2"/>
    </font>
    <font>
      <b/>
      <sz val="14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C1FF"/>
        <bgColor indexed="64"/>
      </patternFill>
    </fill>
    <fill>
      <patternFill patternType="solid">
        <fgColor rgb="FFFFAFCC"/>
        <bgColor indexed="64"/>
      </patternFill>
    </fill>
    <fill>
      <patternFill patternType="solid">
        <fgColor rgb="FF80C1FF"/>
        <bgColor theme="9" tint="0.79998168889431442"/>
      </patternFill>
    </fill>
    <fill>
      <patternFill patternType="solid">
        <fgColor rgb="FFFFAFCC"/>
        <bgColor theme="9" tint="0.79998168889431442"/>
      </patternFill>
    </fill>
    <fill>
      <patternFill patternType="solid">
        <fgColor rgb="FFFFCC99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FEBD0"/>
        <bgColor rgb="FF000000"/>
      </patternFill>
    </fill>
    <fill>
      <patternFill patternType="solid">
        <fgColor rgb="FFFFD579"/>
        <bgColor theme="9" tint="0.79998168889431442"/>
      </patternFill>
    </fill>
  </fills>
  <borders count="59">
    <border>
      <left/>
      <right/>
      <top/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1"/>
      </left>
      <right style="thin">
        <color theme="1"/>
      </right>
      <top style="thin">
        <color theme="0" tint="-0.14993743705557422"/>
      </top>
      <bottom/>
      <diagonal/>
    </border>
    <border>
      <left/>
      <right style="thin">
        <color theme="6"/>
      </right>
      <top/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theme="6"/>
      </left>
      <right style="thin">
        <color theme="6"/>
      </right>
      <top style="double">
        <color theme="6"/>
      </top>
      <bottom style="thin">
        <color theme="6"/>
      </bottom>
      <diagonal/>
    </border>
    <border>
      <left style="thin">
        <color theme="6"/>
      </left>
      <right style="double">
        <color theme="6"/>
      </right>
      <top style="double">
        <color theme="6"/>
      </top>
      <bottom style="thin">
        <color theme="6"/>
      </bottom>
      <diagonal/>
    </border>
    <border>
      <left style="double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double">
        <color theme="6"/>
      </right>
      <top style="thin">
        <color theme="6"/>
      </top>
      <bottom style="thin">
        <color theme="6"/>
      </bottom>
      <diagonal/>
    </border>
    <border>
      <left style="double">
        <color theme="6"/>
      </left>
      <right style="thin">
        <color theme="6"/>
      </right>
      <top style="thin">
        <color theme="6"/>
      </top>
      <bottom style="double">
        <color theme="6"/>
      </bottom>
      <diagonal/>
    </border>
    <border>
      <left style="thin">
        <color theme="6"/>
      </left>
      <right style="double">
        <color theme="6"/>
      </right>
      <top style="thin">
        <color theme="6"/>
      </top>
      <bottom style="double">
        <color theme="6"/>
      </bottom>
      <diagonal/>
    </border>
    <border>
      <left/>
      <right/>
      <top/>
      <bottom style="thin">
        <color rgb="FFFFCC99"/>
      </bottom>
      <diagonal/>
    </border>
    <border>
      <left/>
      <right/>
      <top style="thin">
        <color rgb="FFFFCC99"/>
      </top>
      <bottom style="thin">
        <color rgb="FFFFCC99"/>
      </bottom>
      <diagonal/>
    </border>
    <border>
      <left/>
      <right/>
      <top style="thin">
        <color rgb="FFFFCC99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rgb="FFFF0000"/>
      </right>
      <top style="thick">
        <color indexed="64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ck">
        <color indexed="64"/>
      </top>
      <bottom style="thin">
        <color rgb="FFFF0000"/>
      </bottom>
      <diagonal/>
    </border>
    <border>
      <left style="thin">
        <color rgb="FFFF0000"/>
      </left>
      <right style="thick">
        <color indexed="64"/>
      </right>
      <top style="thick">
        <color indexed="64"/>
      </top>
      <bottom style="thin">
        <color rgb="FFFF0000"/>
      </bottom>
      <diagonal/>
    </border>
    <border>
      <left style="thick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indexed="64"/>
      </right>
      <top style="thin">
        <color rgb="FFFF0000"/>
      </top>
      <bottom style="thin">
        <color rgb="FFFF0000"/>
      </bottom>
      <diagonal/>
    </border>
    <border>
      <left style="thick">
        <color indexed="64"/>
      </left>
      <right style="thin">
        <color rgb="FFFF0000"/>
      </right>
      <top style="thin">
        <color rgb="FFFF0000"/>
      </top>
      <bottom style="thick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ck">
        <color indexed="64"/>
      </bottom>
      <diagonal/>
    </border>
    <border>
      <left style="thin">
        <color rgb="FFFF0000"/>
      </left>
      <right style="thick">
        <color indexed="64"/>
      </right>
      <top style="thin">
        <color rgb="FFFF0000"/>
      </top>
      <bottom style="thick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9"/>
      </right>
      <top/>
      <bottom style="thin">
        <color theme="9"/>
      </bottom>
      <diagonal/>
    </border>
    <border>
      <left style="thin">
        <color theme="9"/>
      </left>
      <right/>
      <top/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ck">
        <color indexed="64"/>
      </left>
      <right style="thin">
        <color rgb="FFFF0000"/>
      </right>
      <top/>
      <bottom style="thin">
        <color rgb="FFFF0000"/>
      </bottom>
      <diagonal/>
    </border>
  </borders>
  <cellStyleXfs count="51">
    <xf numFmtId="0" fontId="0" fillId="5" borderId="0"/>
    <xf numFmtId="0" fontId="3" fillId="0" borderId="0" applyNumberFormat="0" applyFill="0" applyProtection="0">
      <alignment vertical="center"/>
    </xf>
    <xf numFmtId="0" fontId="8" fillId="4" borderId="0" applyNumberFormat="0" applyProtection="0">
      <alignment vertical="center"/>
    </xf>
    <xf numFmtId="0" fontId="5" fillId="2" borderId="0" applyNumberFormat="0" applyProtection="0">
      <alignment vertical="center"/>
    </xf>
    <xf numFmtId="0" fontId="4" fillId="3" borderId="1" applyNumberFormat="0" applyProtection="0">
      <alignment horizontal="left" vertical="center" indent="1"/>
    </xf>
    <xf numFmtId="0" fontId="6" fillId="0" borderId="0" applyNumberFormat="0" applyFill="0" applyBorder="0" applyAlignment="0" applyProtection="0"/>
    <xf numFmtId="167" fontId="9" fillId="0" borderId="0" applyFont="0" applyFill="0" applyBorder="0" applyAlignment="0" applyProtection="0"/>
    <xf numFmtId="166" fontId="9" fillId="0" borderId="0" applyFont="0" applyFill="0" applyBorder="0" applyAlignment="0" applyProtection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6" borderId="0" applyNumberFormat="0" applyBorder="0" applyAlignment="0" applyProtection="0"/>
    <xf numFmtId="0" fontId="12" fillId="7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2" applyNumberFormat="0" applyAlignment="0" applyProtection="0"/>
    <xf numFmtId="0" fontId="15" fillId="10" borderId="3" applyNumberFormat="0" applyAlignment="0" applyProtection="0"/>
    <xf numFmtId="0" fontId="16" fillId="10" borderId="2" applyNumberFormat="0" applyAlignment="0" applyProtection="0"/>
    <xf numFmtId="0" fontId="17" fillId="0" borderId="4" applyNumberFormat="0" applyFill="0" applyAlignment="0" applyProtection="0"/>
    <xf numFmtId="0" fontId="18" fillId="11" borderId="5" applyNumberFormat="0" applyAlignment="0" applyProtection="0"/>
    <xf numFmtId="0" fontId="19" fillId="0" borderId="0" applyNumberFormat="0" applyFill="0" applyBorder="0" applyAlignment="0" applyProtection="0"/>
    <xf numFmtId="0" fontId="9" fillId="12" borderId="6" applyNumberFormat="0" applyFont="0" applyAlignment="0" applyProtection="0"/>
    <xf numFmtId="0" fontId="20" fillId="0" borderId="7" applyNumberFormat="0" applyFill="0" applyAlignment="0" applyProtection="0"/>
    <xf numFmtId="0" fontId="21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1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1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1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1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1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2" fillId="0" borderId="0"/>
    <xf numFmtId="0" fontId="23" fillId="0" borderId="0"/>
    <xf numFmtId="0" fontId="25" fillId="0" borderId="0"/>
    <xf numFmtId="0" fontId="1" fillId="0" borderId="0"/>
  </cellStyleXfs>
  <cellXfs count="325">
    <xf numFmtId="0" fontId="0" fillId="5" borderId="0" xfId="0"/>
    <xf numFmtId="0" fontId="7" fillId="5" borderId="0" xfId="0" applyFont="1" applyAlignment="1">
      <alignment horizontal="left" vertical="center"/>
    </xf>
    <xf numFmtId="0" fontId="2" fillId="0" borderId="0" xfId="47"/>
    <xf numFmtId="0" fontId="2" fillId="38" borderId="13" xfId="47" applyFill="1" applyBorder="1"/>
    <xf numFmtId="4" fontId="2" fillId="38" borderId="14" xfId="47" applyNumberFormat="1" applyFill="1" applyBorder="1"/>
    <xf numFmtId="0" fontId="0" fillId="5" borderId="25" xfId="0" applyBorder="1" applyAlignment="1">
      <alignment horizontal="left"/>
    </xf>
    <xf numFmtId="4" fontId="24" fillId="5" borderId="22" xfId="0" applyNumberFormat="1" applyFont="1" applyBorder="1" applyAlignment="1">
      <alignment horizontal="left"/>
    </xf>
    <xf numFmtId="4" fontId="2" fillId="38" borderId="15" xfId="47" applyNumberFormat="1" applyFill="1" applyBorder="1"/>
    <xf numFmtId="0" fontId="25" fillId="0" borderId="0" xfId="49"/>
    <xf numFmtId="170" fontId="27" fillId="0" borderId="0" xfId="49" applyNumberFormat="1" applyFont="1" applyAlignment="1">
      <alignment horizontal="center" vertical="center"/>
    </xf>
    <xf numFmtId="171" fontId="20" fillId="38" borderId="28" xfId="47" applyNumberFormat="1" applyFont="1" applyFill="1" applyBorder="1" applyAlignment="1">
      <alignment horizontal="right"/>
    </xf>
    <xf numFmtId="171" fontId="20" fillId="38" borderId="30" xfId="47" applyNumberFormat="1" applyFont="1" applyFill="1" applyBorder="1" applyAlignment="1">
      <alignment horizontal="right"/>
    </xf>
    <xf numFmtId="0" fontId="20" fillId="38" borderId="30" xfId="47" applyFont="1" applyFill="1" applyBorder="1" applyAlignment="1">
      <alignment horizontal="right"/>
    </xf>
    <xf numFmtId="171" fontId="20" fillId="38" borderId="32" xfId="47" applyNumberFormat="1" applyFont="1" applyFill="1" applyBorder="1" applyAlignment="1">
      <alignment horizontal="right"/>
    </xf>
    <xf numFmtId="4" fontId="2" fillId="39" borderId="13" xfId="47" applyNumberFormat="1" applyFill="1" applyBorder="1"/>
    <xf numFmtId="4" fontId="2" fillId="39" borderId="14" xfId="47" applyNumberFormat="1" applyFill="1" applyBorder="1"/>
    <xf numFmtId="4" fontId="2" fillId="39" borderId="15" xfId="47" applyNumberFormat="1" applyFill="1" applyBorder="1"/>
    <xf numFmtId="0" fontId="2" fillId="39" borderId="14" xfId="47" applyFill="1" applyBorder="1"/>
    <xf numFmtId="4" fontId="2" fillId="39" borderId="16" xfId="47" applyNumberFormat="1" applyFill="1" applyBorder="1"/>
    <xf numFmtId="4" fontId="2" fillId="39" borderId="17" xfId="47" applyNumberFormat="1" applyFill="1" applyBorder="1"/>
    <xf numFmtId="4" fontId="2" fillId="39" borderId="18" xfId="47" applyNumberFormat="1" applyFill="1" applyBorder="1"/>
    <xf numFmtId="0" fontId="2" fillId="39" borderId="17" xfId="47" applyFill="1" applyBorder="1"/>
    <xf numFmtId="0" fontId="2" fillId="39" borderId="16" xfId="47" applyFill="1" applyBorder="1"/>
    <xf numFmtId="0" fontId="20" fillId="38" borderId="14" xfId="47" applyFont="1" applyFill="1" applyBorder="1"/>
    <xf numFmtId="169" fontId="20" fillId="38" borderId="29" xfId="47" applyNumberFormat="1" applyFont="1" applyFill="1" applyBorder="1"/>
    <xf numFmtId="169" fontId="20" fillId="38" borderId="31" xfId="47" applyNumberFormat="1" applyFont="1" applyFill="1" applyBorder="1"/>
    <xf numFmtId="169" fontId="20" fillId="38" borderId="33" xfId="47" applyNumberFormat="1" applyFont="1" applyFill="1" applyBorder="1"/>
    <xf numFmtId="0" fontId="28" fillId="5" borderId="0" xfId="0" applyFont="1"/>
    <xf numFmtId="0" fontId="25" fillId="0" borderId="27" xfId="49" applyBorder="1" applyAlignment="1">
      <alignment horizontal="center" vertical="center"/>
    </xf>
    <xf numFmtId="0" fontId="0" fillId="5" borderId="0" xfId="0" applyAlignment="1">
      <alignment horizontal="center" vertical="center"/>
    </xf>
    <xf numFmtId="0" fontId="36" fillId="5" borderId="34" xfId="0" pivotButton="1" applyFont="1" applyBorder="1" applyAlignment="1">
      <alignment vertical="center"/>
    </xf>
    <xf numFmtId="170" fontId="36" fillId="5" borderId="35" xfId="0" applyNumberFormat="1" applyFont="1" applyBorder="1" applyAlignment="1">
      <alignment horizontal="center" vertical="center"/>
    </xf>
    <xf numFmtId="0" fontId="0" fillId="5" borderId="0" xfId="0" applyAlignment="1">
      <alignment horizontal="center"/>
    </xf>
    <xf numFmtId="14" fontId="36" fillId="5" borderId="35" xfId="0" applyNumberFormat="1" applyFont="1" applyBorder="1" applyAlignment="1">
      <alignment horizontal="center" vertical="center"/>
    </xf>
    <xf numFmtId="0" fontId="38" fillId="5" borderId="0" xfId="0" applyFont="1" applyAlignment="1">
      <alignment horizontal="left" vertical="center"/>
    </xf>
    <xf numFmtId="0" fontId="39" fillId="5" borderId="0" xfId="0" applyFont="1" applyAlignment="1">
      <alignment horizontal="left" vertical="center" wrapText="1"/>
    </xf>
    <xf numFmtId="0" fontId="40" fillId="5" borderId="0" xfId="0" applyFont="1"/>
    <xf numFmtId="0" fontId="37" fillId="41" borderId="22" xfId="0" applyFont="1" applyFill="1" applyBorder="1" applyAlignment="1">
      <alignment horizontal="center" vertical="center"/>
    </xf>
    <xf numFmtId="0" fontId="37" fillId="42" borderId="22" xfId="0" applyFont="1" applyFill="1" applyBorder="1" applyAlignment="1">
      <alignment horizontal="center" vertical="center"/>
    </xf>
    <xf numFmtId="0" fontId="37" fillId="45" borderId="25" xfId="0" applyFont="1" applyFill="1" applyBorder="1" applyAlignment="1">
      <alignment horizontal="center" vertical="center"/>
    </xf>
    <xf numFmtId="172" fontId="37" fillId="45" borderId="26" xfId="0" applyNumberFormat="1" applyFont="1" applyFill="1" applyBorder="1" applyAlignment="1">
      <alignment vertical="center"/>
    </xf>
    <xf numFmtId="0" fontId="42" fillId="40" borderId="10" xfId="47" applyFont="1" applyFill="1" applyBorder="1" applyAlignment="1">
      <alignment horizontal="center"/>
    </xf>
    <xf numFmtId="0" fontId="42" fillId="40" borderId="11" xfId="47" applyFont="1" applyFill="1" applyBorder="1" applyAlignment="1">
      <alignment horizontal="center"/>
    </xf>
    <xf numFmtId="0" fontId="42" fillId="40" borderId="12" xfId="47" applyFont="1" applyFill="1" applyBorder="1" applyAlignment="1">
      <alignment horizontal="center"/>
    </xf>
    <xf numFmtId="0" fontId="20" fillId="41" borderId="13" xfId="47" applyFont="1" applyFill="1" applyBorder="1"/>
    <xf numFmtId="170" fontId="2" fillId="41" borderId="14" xfId="47" applyNumberFormat="1" applyFill="1" applyBorder="1" applyAlignment="1">
      <alignment horizontal="center"/>
    </xf>
    <xf numFmtId="170" fontId="2" fillId="41" borderId="15" xfId="47" applyNumberFormat="1" applyFill="1" applyBorder="1" applyAlignment="1">
      <alignment horizontal="center"/>
    </xf>
    <xf numFmtId="0" fontId="20" fillId="41" borderId="11" xfId="47" applyFont="1" applyFill="1" applyBorder="1"/>
    <xf numFmtId="0" fontId="20" fillId="42" borderId="13" xfId="47" applyFont="1" applyFill="1" applyBorder="1"/>
    <xf numFmtId="170" fontId="2" fillId="42" borderId="14" xfId="47" applyNumberFormat="1" applyFill="1" applyBorder="1" applyAlignment="1">
      <alignment horizontal="center"/>
    </xf>
    <xf numFmtId="170" fontId="2" fillId="42" borderId="15" xfId="47" applyNumberFormat="1" applyFill="1" applyBorder="1" applyAlignment="1">
      <alignment horizontal="center"/>
    </xf>
    <xf numFmtId="0" fontId="20" fillId="42" borderId="14" xfId="47" applyFont="1" applyFill="1" applyBorder="1"/>
    <xf numFmtId="4" fontId="2" fillId="41" borderId="14" xfId="47" applyNumberFormat="1" applyFill="1" applyBorder="1"/>
    <xf numFmtId="4" fontId="2" fillId="41" borderId="15" xfId="47" applyNumberFormat="1" applyFill="1" applyBorder="1"/>
    <xf numFmtId="4" fontId="20" fillId="41" borderId="14" xfId="47" applyNumberFormat="1" applyFont="1" applyFill="1" applyBorder="1"/>
    <xf numFmtId="4" fontId="2" fillId="42" borderId="14" xfId="47" applyNumberFormat="1" applyFill="1" applyBorder="1"/>
    <xf numFmtId="4" fontId="2" fillId="42" borderId="15" xfId="47" applyNumberFormat="1" applyFill="1" applyBorder="1"/>
    <xf numFmtId="4" fontId="20" fillId="42" borderId="14" xfId="47" applyNumberFormat="1" applyFont="1" applyFill="1" applyBorder="1"/>
    <xf numFmtId="4" fontId="2" fillId="42" borderId="14" xfId="47" applyNumberFormat="1" applyFill="1" applyBorder="1" applyAlignment="1">
      <alignment vertical="center"/>
    </xf>
    <xf numFmtId="0" fontId="42" fillId="40" borderId="27" xfId="49" applyFont="1" applyFill="1" applyBorder="1" applyAlignment="1">
      <alignment horizontal="center" vertical="center"/>
    </xf>
    <xf numFmtId="170" fontId="42" fillId="40" borderId="27" xfId="49" applyNumberFormat="1" applyFont="1" applyFill="1" applyBorder="1" applyAlignment="1">
      <alignment horizontal="center" vertical="center"/>
    </xf>
    <xf numFmtId="49" fontId="42" fillId="40" borderId="27" xfId="49" applyNumberFormat="1" applyFont="1" applyFill="1" applyBorder="1" applyAlignment="1">
      <alignment horizontal="center" vertical="center"/>
    </xf>
    <xf numFmtId="0" fontId="25" fillId="41" borderId="27" xfId="49" applyFill="1" applyBorder="1" applyAlignment="1">
      <alignment horizontal="center" vertical="center"/>
    </xf>
    <xf numFmtId="0" fontId="25" fillId="41" borderId="27" xfId="49" applyFill="1" applyBorder="1" applyAlignment="1">
      <alignment horizontal="right" vertical="center"/>
    </xf>
    <xf numFmtId="0" fontId="26" fillId="41" borderId="27" xfId="49" applyFont="1" applyFill="1" applyBorder="1"/>
    <xf numFmtId="0" fontId="25" fillId="42" borderId="27" xfId="49" applyFill="1" applyBorder="1" applyAlignment="1">
      <alignment horizontal="center" vertical="center"/>
    </xf>
    <xf numFmtId="0" fontId="25" fillId="42" borderId="27" xfId="49" applyFill="1" applyBorder="1" applyAlignment="1">
      <alignment horizontal="right" vertical="center"/>
    </xf>
    <xf numFmtId="0" fontId="26" fillId="42" borderId="27" xfId="49" applyFont="1" applyFill="1" applyBorder="1"/>
    <xf numFmtId="0" fontId="33" fillId="40" borderId="19" xfId="0" applyFont="1" applyFill="1" applyBorder="1" applyAlignment="1">
      <alignment horizontal="center" vertical="center" wrapText="1"/>
    </xf>
    <xf numFmtId="17" fontId="33" fillId="40" borderId="19" xfId="0" applyNumberFormat="1" applyFont="1" applyFill="1" applyBorder="1" applyAlignment="1">
      <alignment horizontal="center" vertical="center" wrapText="1"/>
    </xf>
    <xf numFmtId="0" fontId="0" fillId="5" borderId="21" xfId="0" applyBorder="1"/>
    <xf numFmtId="0" fontId="36" fillId="5" borderId="35" xfId="0" applyFont="1" applyBorder="1" applyAlignment="1">
      <alignment horizontal="center" vertical="center"/>
    </xf>
    <xf numFmtId="0" fontId="36" fillId="5" borderId="36" xfId="0" applyFont="1" applyBorder="1" applyAlignment="1">
      <alignment horizontal="left" vertical="center"/>
    </xf>
    <xf numFmtId="170" fontId="41" fillId="41" borderId="8" xfId="0" applyNumberFormat="1" applyFont="1" applyFill="1" applyBorder="1" applyAlignment="1">
      <alignment horizontal="center" vertical="center"/>
    </xf>
    <xf numFmtId="49" fontId="41" fillId="41" borderId="9" xfId="0" applyNumberFormat="1" applyFont="1" applyFill="1" applyBorder="1" applyAlignment="1">
      <alignment vertical="center"/>
    </xf>
    <xf numFmtId="4" fontId="37" fillId="41" borderId="22" xfId="0" applyNumberFormat="1" applyFont="1" applyFill="1" applyBorder="1" applyAlignment="1">
      <alignment horizontal="right" vertical="center"/>
    </xf>
    <xf numFmtId="4" fontId="37" fillId="42" borderId="22" xfId="0" applyNumberFormat="1" applyFont="1" applyFill="1" applyBorder="1" applyAlignment="1">
      <alignment horizontal="right" vertical="center"/>
    </xf>
    <xf numFmtId="0" fontId="0" fillId="41" borderId="0" xfId="0" applyFill="1"/>
    <xf numFmtId="0" fontId="32" fillId="40" borderId="39" xfId="0" applyFont="1" applyFill="1" applyBorder="1" applyAlignment="1">
      <alignment horizontal="center" vertical="center" wrapText="1"/>
    </xf>
    <xf numFmtId="0" fontId="32" fillId="40" borderId="40" xfId="0" applyFont="1" applyFill="1" applyBorder="1" applyAlignment="1">
      <alignment horizontal="center" vertical="center" wrapText="1"/>
    </xf>
    <xf numFmtId="19" fontId="32" fillId="40" borderId="40" xfId="0" applyNumberFormat="1" applyFont="1" applyFill="1" applyBorder="1" applyAlignment="1">
      <alignment horizontal="center" vertical="center" wrapText="1"/>
    </xf>
    <xf numFmtId="0" fontId="20" fillId="43" borderId="42" xfId="0" applyFont="1" applyFill="1" applyBorder="1" applyAlignment="1">
      <alignment vertical="center"/>
    </xf>
    <xf numFmtId="0" fontId="20" fillId="43" borderId="23" xfId="0" applyFont="1" applyFill="1" applyBorder="1" applyAlignment="1">
      <alignment horizontal="center" vertical="center"/>
    </xf>
    <xf numFmtId="170" fontId="41" fillId="43" borderId="23" xfId="0" applyNumberFormat="1" applyFont="1" applyFill="1" applyBorder="1" applyAlignment="1">
      <alignment horizontal="center" vertical="center"/>
    </xf>
    <xf numFmtId="4" fontId="41" fillId="43" borderId="23" xfId="0" applyNumberFormat="1" applyFont="1" applyFill="1" applyBorder="1" applyAlignment="1">
      <alignment vertical="center"/>
    </xf>
    <xf numFmtId="0" fontId="20" fillId="44" borderId="42" xfId="0" applyFont="1" applyFill="1" applyBorder="1" applyAlignment="1">
      <alignment vertical="center"/>
    </xf>
    <xf numFmtId="0" fontId="20" fillId="44" borderId="23" xfId="0" applyFont="1" applyFill="1" applyBorder="1" applyAlignment="1">
      <alignment horizontal="center" vertical="center"/>
    </xf>
    <xf numFmtId="170" fontId="41" fillId="44" borderId="23" xfId="0" applyNumberFormat="1" applyFont="1" applyFill="1" applyBorder="1" applyAlignment="1">
      <alignment horizontal="center" vertical="center"/>
    </xf>
    <xf numFmtId="4" fontId="41" fillId="44" borderId="23" xfId="0" applyNumberFormat="1" applyFont="1" applyFill="1" applyBorder="1" applyAlignment="1">
      <alignment vertical="center"/>
    </xf>
    <xf numFmtId="0" fontId="20" fillId="41" borderId="42" xfId="0" applyFont="1" applyFill="1" applyBorder="1" applyAlignment="1">
      <alignment vertical="center"/>
    </xf>
    <xf numFmtId="0" fontId="20" fillId="41" borderId="23" xfId="0" applyFont="1" applyFill="1" applyBorder="1" applyAlignment="1">
      <alignment horizontal="center" vertical="center"/>
    </xf>
    <xf numFmtId="170" fontId="41" fillId="41" borderId="23" xfId="0" applyNumberFormat="1" applyFont="1" applyFill="1" applyBorder="1" applyAlignment="1">
      <alignment horizontal="center" vertical="center"/>
    </xf>
    <xf numFmtId="4" fontId="41" fillId="41" borderId="23" xfId="0" applyNumberFormat="1" applyFont="1" applyFill="1" applyBorder="1" applyAlignment="1">
      <alignment vertical="center"/>
    </xf>
    <xf numFmtId="170" fontId="41" fillId="42" borderId="23" xfId="0" applyNumberFormat="1" applyFont="1" applyFill="1" applyBorder="1" applyAlignment="1">
      <alignment horizontal="center" vertical="center"/>
    </xf>
    <xf numFmtId="4" fontId="41" fillId="42" borderId="23" xfId="0" applyNumberFormat="1" applyFont="1" applyFill="1" applyBorder="1" applyAlignment="1">
      <alignment vertical="center"/>
    </xf>
    <xf numFmtId="0" fontId="20" fillId="42" borderId="42" xfId="0" applyFont="1" applyFill="1" applyBorder="1" applyAlignment="1">
      <alignment vertical="center"/>
    </xf>
    <xf numFmtId="0" fontId="20" fillId="42" borderId="23" xfId="0" applyFont="1" applyFill="1" applyBorder="1" applyAlignment="1">
      <alignment horizontal="center" vertical="center"/>
    </xf>
    <xf numFmtId="168" fontId="32" fillId="40" borderId="40" xfId="0" applyNumberFormat="1" applyFont="1" applyFill="1" applyBorder="1" applyAlignment="1">
      <alignment horizontal="center" vertical="center" wrapText="1"/>
    </xf>
    <xf numFmtId="168" fontId="32" fillId="40" borderId="41" xfId="0" applyNumberFormat="1" applyFont="1" applyFill="1" applyBorder="1" applyAlignment="1">
      <alignment horizontal="center" vertical="center" wrapText="1"/>
    </xf>
    <xf numFmtId="172" fontId="41" fillId="43" borderId="23" xfId="0" applyNumberFormat="1" applyFont="1" applyFill="1" applyBorder="1" applyAlignment="1">
      <alignment vertical="center"/>
    </xf>
    <xf numFmtId="10" fontId="43" fillId="41" borderId="23" xfId="10" applyNumberFormat="1" applyFont="1" applyFill="1" applyBorder="1" applyAlignment="1">
      <alignment vertical="center"/>
    </xf>
    <xf numFmtId="10" fontId="43" fillId="41" borderId="43" xfId="10" applyNumberFormat="1" applyFont="1" applyFill="1" applyBorder="1" applyAlignment="1">
      <alignment vertical="center"/>
    </xf>
    <xf numFmtId="172" fontId="41" fillId="44" borderId="23" xfId="0" applyNumberFormat="1" applyFont="1" applyFill="1" applyBorder="1" applyAlignment="1">
      <alignment vertical="center"/>
    </xf>
    <xf numFmtId="4" fontId="0" fillId="5" borderId="0" xfId="0" applyNumberFormat="1"/>
    <xf numFmtId="0" fontId="32" fillId="40" borderId="40" xfId="0" applyFont="1" applyFill="1" applyBorder="1" applyAlignment="1">
      <alignment horizontal="center" vertical="center"/>
    </xf>
    <xf numFmtId="0" fontId="32" fillId="40" borderId="41" xfId="0" applyFont="1" applyFill="1" applyBorder="1" applyAlignment="1">
      <alignment horizontal="center" vertical="center"/>
    </xf>
    <xf numFmtId="49" fontId="30" fillId="41" borderId="23" xfId="0" applyNumberFormat="1" applyFont="1" applyFill="1" applyBorder="1" applyAlignment="1">
      <alignment horizontal="center" vertical="center" wrapText="1"/>
    </xf>
    <xf numFmtId="49" fontId="30" fillId="41" borderId="43" xfId="0" applyNumberFormat="1" applyFont="1" applyFill="1" applyBorder="1" applyAlignment="1">
      <alignment horizontal="center" vertical="center" wrapText="1"/>
    </xf>
    <xf numFmtId="49" fontId="30" fillId="42" borderId="23" xfId="0" applyNumberFormat="1" applyFont="1" applyFill="1" applyBorder="1" applyAlignment="1">
      <alignment horizontal="center" vertical="center" wrapText="1"/>
    </xf>
    <xf numFmtId="49" fontId="30" fillId="42" borderId="43" xfId="0" applyNumberFormat="1" applyFont="1" applyFill="1" applyBorder="1" applyAlignment="1">
      <alignment horizontal="center" vertical="center" wrapText="1"/>
    </xf>
    <xf numFmtId="49" fontId="29" fillId="42" borderId="23" xfId="0" applyNumberFormat="1" applyFont="1" applyFill="1" applyBorder="1" applyAlignment="1">
      <alignment horizontal="center" vertical="center" wrapText="1"/>
    </xf>
    <xf numFmtId="49" fontId="29" fillId="41" borderId="23" xfId="0" applyNumberFormat="1" applyFont="1" applyFill="1" applyBorder="1" applyAlignment="1">
      <alignment horizontal="center" vertical="center" wrapText="1"/>
    </xf>
    <xf numFmtId="49" fontId="29" fillId="41" borderId="43" xfId="0" applyNumberFormat="1" applyFont="1" applyFill="1" applyBorder="1" applyAlignment="1">
      <alignment horizontal="center" vertical="center" wrapText="1"/>
    </xf>
    <xf numFmtId="49" fontId="29" fillId="42" borderId="43" xfId="0" applyNumberFormat="1" applyFont="1" applyFill="1" applyBorder="1" applyAlignment="1">
      <alignment horizontal="center" vertical="center" wrapText="1"/>
    </xf>
    <xf numFmtId="49" fontId="30" fillId="42" borderId="45" xfId="0" applyNumberFormat="1" applyFont="1" applyFill="1" applyBorder="1" applyAlignment="1">
      <alignment horizontal="center" vertical="center" wrapText="1"/>
    </xf>
    <xf numFmtId="49" fontId="29" fillId="42" borderId="45" xfId="0" applyNumberFormat="1" applyFont="1" applyFill="1" applyBorder="1" applyAlignment="1">
      <alignment horizontal="center" vertical="center" wrapText="1"/>
    </xf>
    <xf numFmtId="49" fontId="29" fillId="42" borderId="46" xfId="0" applyNumberFormat="1" applyFont="1" applyFill="1" applyBorder="1" applyAlignment="1">
      <alignment horizontal="center" vertical="center" wrapText="1"/>
    </xf>
    <xf numFmtId="49" fontId="34" fillId="42" borderId="23" xfId="0" applyNumberFormat="1" applyFont="1" applyFill="1" applyBorder="1" applyAlignment="1">
      <alignment vertical="center"/>
    </xf>
    <xf numFmtId="49" fontId="34" fillId="41" borderId="23" xfId="0" applyNumberFormat="1" applyFont="1" applyFill="1" applyBorder="1" applyAlignment="1">
      <alignment vertical="center"/>
    </xf>
    <xf numFmtId="49" fontId="34" fillId="44" borderId="23" xfId="0" applyNumberFormat="1" applyFont="1" applyFill="1" applyBorder="1" applyAlignment="1">
      <alignment vertical="center"/>
    </xf>
    <xf numFmtId="49" fontId="34" fillId="43" borderId="23" xfId="0" applyNumberFormat="1" applyFont="1" applyFill="1" applyBorder="1" applyAlignment="1">
      <alignment vertical="center"/>
    </xf>
    <xf numFmtId="49" fontId="29" fillId="41" borderId="23" xfId="0" applyNumberFormat="1" applyFont="1" applyFill="1" applyBorder="1" applyAlignment="1">
      <alignment horizontal="left" vertical="center" wrapText="1"/>
    </xf>
    <xf numFmtId="49" fontId="29" fillId="42" borderId="23" xfId="0" applyNumberFormat="1" applyFont="1" applyFill="1" applyBorder="1" applyAlignment="1">
      <alignment horizontal="left" vertical="center" wrapText="1"/>
    </xf>
    <xf numFmtId="49" fontId="29" fillId="42" borderId="45" xfId="0" applyNumberFormat="1" applyFont="1" applyFill="1" applyBorder="1" applyAlignment="1">
      <alignment horizontal="left" vertical="center" wrapText="1"/>
    </xf>
    <xf numFmtId="0" fontId="35" fillId="37" borderId="47" xfId="0" applyFont="1" applyFill="1" applyBorder="1" applyAlignment="1">
      <alignment horizontal="right" vertical="center"/>
    </xf>
    <xf numFmtId="0" fontId="20" fillId="37" borderId="47" xfId="0" applyFont="1" applyFill="1" applyBorder="1" applyAlignment="1">
      <alignment vertical="center"/>
    </xf>
    <xf numFmtId="0" fontId="49" fillId="37" borderId="48" xfId="0" applyFont="1" applyFill="1" applyBorder="1" applyAlignment="1">
      <alignment vertical="center"/>
    </xf>
    <xf numFmtId="170" fontId="48" fillId="37" borderId="48" xfId="0" applyNumberFormat="1" applyFont="1" applyFill="1" applyBorder="1" applyAlignment="1">
      <alignment horizontal="center" vertical="center"/>
    </xf>
    <xf numFmtId="169" fontId="48" fillId="37" borderId="48" xfId="0" applyNumberFormat="1" applyFont="1" applyFill="1" applyBorder="1" applyAlignment="1">
      <alignment vertical="center"/>
    </xf>
    <xf numFmtId="0" fontId="32" fillId="40" borderId="19" xfId="0" applyFont="1" applyFill="1" applyBorder="1" applyAlignment="1">
      <alignment horizontal="center" vertical="center" wrapText="1"/>
    </xf>
    <xf numFmtId="0" fontId="32" fillId="40" borderId="20" xfId="0" applyFont="1" applyFill="1" applyBorder="1" applyAlignment="1">
      <alignment horizontal="center" vertical="center" wrapText="1"/>
    </xf>
    <xf numFmtId="168" fontId="32" fillId="40" borderId="20" xfId="0" applyNumberFormat="1" applyFont="1" applyFill="1" applyBorder="1" applyAlignment="1">
      <alignment horizontal="center" vertical="center" wrapText="1"/>
    </xf>
    <xf numFmtId="168" fontId="32" fillId="40" borderId="21" xfId="0" applyNumberFormat="1" applyFont="1" applyFill="1" applyBorder="1" applyAlignment="1">
      <alignment horizontal="center" vertical="center" wrapText="1"/>
    </xf>
    <xf numFmtId="0" fontId="20" fillId="41" borderId="22" xfId="0" applyFont="1" applyFill="1" applyBorder="1" applyAlignment="1">
      <alignment vertical="center"/>
    </xf>
    <xf numFmtId="49" fontId="48" fillId="41" borderId="23" xfId="0" applyNumberFormat="1" applyFont="1" applyFill="1" applyBorder="1" applyAlignment="1">
      <alignment vertical="center"/>
    </xf>
    <xf numFmtId="170" fontId="46" fillId="41" borderId="23" xfId="0" applyNumberFormat="1" applyFont="1" applyFill="1" applyBorder="1" applyAlignment="1">
      <alignment horizontal="center" vertical="center"/>
    </xf>
    <xf numFmtId="4" fontId="46" fillId="41" borderId="23" xfId="0" applyNumberFormat="1" applyFont="1" applyFill="1" applyBorder="1" applyAlignment="1">
      <alignment vertical="center"/>
    </xf>
    <xf numFmtId="4" fontId="20" fillId="41" borderId="23" xfId="0" applyNumberFormat="1" applyFont="1" applyFill="1" applyBorder="1" applyAlignment="1">
      <alignment vertical="center"/>
    </xf>
    <xf numFmtId="4" fontId="20" fillId="41" borderId="24" xfId="0" applyNumberFormat="1" applyFont="1" applyFill="1" applyBorder="1" applyAlignment="1">
      <alignment vertical="center"/>
    </xf>
    <xf numFmtId="0" fontId="20" fillId="42" borderId="22" xfId="0" applyFont="1" applyFill="1" applyBorder="1" applyAlignment="1">
      <alignment vertical="center"/>
    </xf>
    <xf numFmtId="49" fontId="48" fillId="42" borderId="23" xfId="0" applyNumberFormat="1" applyFont="1" applyFill="1" applyBorder="1" applyAlignment="1">
      <alignment vertical="center"/>
    </xf>
    <xf numFmtId="170" fontId="48" fillId="42" borderId="23" xfId="0" applyNumberFormat="1" applyFont="1" applyFill="1" applyBorder="1" applyAlignment="1">
      <alignment horizontal="center" vertical="center"/>
    </xf>
    <xf numFmtId="4" fontId="48" fillId="42" borderId="23" xfId="0" applyNumberFormat="1" applyFont="1" applyFill="1" applyBorder="1" applyAlignment="1">
      <alignment vertical="center"/>
    </xf>
    <xf numFmtId="4" fontId="46" fillId="42" borderId="23" xfId="0" applyNumberFormat="1" applyFont="1" applyFill="1" applyBorder="1" applyAlignment="1">
      <alignment vertical="center"/>
    </xf>
    <xf numFmtId="4" fontId="46" fillId="42" borderId="24" xfId="0" applyNumberFormat="1" applyFont="1" applyFill="1" applyBorder="1" applyAlignment="1">
      <alignment vertical="center"/>
    </xf>
    <xf numFmtId="0" fontId="20" fillId="43" borderId="22" xfId="0" applyFont="1" applyFill="1" applyBorder="1" applyAlignment="1">
      <alignment vertical="center"/>
    </xf>
    <xf numFmtId="49" fontId="48" fillId="43" borderId="23" xfId="0" applyNumberFormat="1" applyFont="1" applyFill="1" applyBorder="1" applyAlignment="1">
      <alignment vertical="center"/>
    </xf>
    <xf numFmtId="170" fontId="48" fillId="43" borderId="23" xfId="0" applyNumberFormat="1" applyFont="1" applyFill="1" applyBorder="1" applyAlignment="1">
      <alignment horizontal="center" vertical="center"/>
    </xf>
    <xf numFmtId="4" fontId="48" fillId="43" borderId="23" xfId="0" applyNumberFormat="1" applyFont="1" applyFill="1" applyBorder="1" applyAlignment="1">
      <alignment vertical="center"/>
    </xf>
    <xf numFmtId="4" fontId="46" fillId="43" borderId="23" xfId="0" applyNumberFormat="1" applyFont="1" applyFill="1" applyBorder="1" applyAlignment="1">
      <alignment vertical="center"/>
    </xf>
    <xf numFmtId="0" fontId="20" fillId="44" borderId="22" xfId="0" applyFont="1" applyFill="1" applyBorder="1" applyAlignment="1">
      <alignment vertical="center"/>
    </xf>
    <xf numFmtId="49" fontId="46" fillId="44" borderId="23" xfId="0" applyNumberFormat="1" applyFont="1" applyFill="1" applyBorder="1" applyAlignment="1">
      <alignment vertical="center"/>
    </xf>
    <xf numFmtId="170" fontId="46" fillId="44" borderId="23" xfId="0" applyNumberFormat="1" applyFont="1" applyFill="1" applyBorder="1" applyAlignment="1">
      <alignment horizontal="center" vertical="center"/>
    </xf>
    <xf numFmtId="4" fontId="46" fillId="44" borderId="23" xfId="0" applyNumberFormat="1" applyFont="1" applyFill="1" applyBorder="1" applyAlignment="1">
      <alignment vertical="center"/>
    </xf>
    <xf numFmtId="4" fontId="20" fillId="44" borderId="23" xfId="0" applyNumberFormat="1" applyFont="1" applyFill="1" applyBorder="1" applyAlignment="1">
      <alignment vertical="center"/>
    </xf>
    <xf numFmtId="4" fontId="20" fillId="44" borderId="24" xfId="0" applyNumberFormat="1" applyFont="1" applyFill="1" applyBorder="1" applyAlignment="1">
      <alignment vertical="center"/>
    </xf>
    <xf numFmtId="4" fontId="20" fillId="43" borderId="23" xfId="0" applyNumberFormat="1" applyFont="1" applyFill="1" applyBorder="1" applyAlignment="1">
      <alignment vertical="center"/>
    </xf>
    <xf numFmtId="4" fontId="20" fillId="43" borderId="24" xfId="0" applyNumberFormat="1" applyFont="1" applyFill="1" applyBorder="1" applyAlignment="1">
      <alignment vertical="center"/>
    </xf>
    <xf numFmtId="49" fontId="45" fillId="44" borderId="23" xfId="0" applyNumberFormat="1" applyFont="1" applyFill="1" applyBorder="1" applyAlignment="1">
      <alignment vertical="center"/>
    </xf>
    <xf numFmtId="170" fontId="45" fillId="44" borderId="23" xfId="0" applyNumberFormat="1" applyFont="1" applyFill="1" applyBorder="1" applyAlignment="1">
      <alignment horizontal="center" vertical="center"/>
    </xf>
    <xf numFmtId="4" fontId="45" fillId="44" borderId="23" xfId="0" applyNumberFormat="1" applyFont="1" applyFill="1" applyBorder="1" applyAlignment="1">
      <alignment vertical="center"/>
    </xf>
    <xf numFmtId="49" fontId="46" fillId="41" borderId="23" xfId="0" applyNumberFormat="1" applyFont="1" applyFill="1" applyBorder="1" applyAlignment="1">
      <alignment vertical="center"/>
    </xf>
    <xf numFmtId="170" fontId="48" fillId="41" borderId="23" xfId="0" applyNumberFormat="1" applyFont="1" applyFill="1" applyBorder="1" applyAlignment="1">
      <alignment horizontal="center" vertical="center"/>
    </xf>
    <xf numFmtId="4" fontId="48" fillId="41" borderId="23" xfId="0" applyNumberFormat="1" applyFont="1" applyFill="1" applyBorder="1" applyAlignment="1">
      <alignment vertical="center"/>
    </xf>
    <xf numFmtId="49" fontId="48" fillId="44" borderId="23" xfId="0" applyNumberFormat="1" applyFont="1" applyFill="1" applyBorder="1" applyAlignment="1">
      <alignment vertical="center"/>
    </xf>
    <xf numFmtId="170" fontId="48" fillId="44" borderId="23" xfId="0" applyNumberFormat="1" applyFont="1" applyFill="1" applyBorder="1" applyAlignment="1">
      <alignment horizontal="center" vertical="center"/>
    </xf>
    <xf numFmtId="4" fontId="48" fillId="44" borderId="23" xfId="0" applyNumberFormat="1" applyFont="1" applyFill="1" applyBorder="1" applyAlignment="1">
      <alignment vertical="center"/>
    </xf>
    <xf numFmtId="170" fontId="45" fillId="42" borderId="23" xfId="0" applyNumberFormat="1" applyFont="1" applyFill="1" applyBorder="1" applyAlignment="1">
      <alignment horizontal="center" vertical="center"/>
    </xf>
    <xf numFmtId="4" fontId="45" fillId="42" borderId="23" xfId="0" applyNumberFormat="1" applyFont="1" applyFill="1" applyBorder="1" applyAlignment="1">
      <alignment vertical="center"/>
    </xf>
    <xf numFmtId="4" fontId="20" fillId="42" borderId="23" xfId="0" applyNumberFormat="1" applyFont="1" applyFill="1" applyBorder="1" applyAlignment="1">
      <alignment vertical="center"/>
    </xf>
    <xf numFmtId="4" fontId="20" fillId="42" borderId="24" xfId="0" applyNumberFormat="1" applyFont="1" applyFill="1" applyBorder="1" applyAlignment="1">
      <alignment vertical="center"/>
    </xf>
    <xf numFmtId="170" fontId="20" fillId="41" borderId="23" xfId="0" applyNumberFormat="1" applyFont="1" applyFill="1" applyBorder="1" applyAlignment="1">
      <alignment horizontal="center" vertical="center"/>
    </xf>
    <xf numFmtId="49" fontId="44" fillId="42" borderId="23" xfId="0" applyNumberFormat="1" applyFont="1" applyFill="1" applyBorder="1" applyAlignment="1">
      <alignment vertical="center"/>
    </xf>
    <xf numFmtId="170" fontId="20" fillId="42" borderId="23" xfId="0" applyNumberFormat="1" applyFont="1" applyFill="1" applyBorder="1" applyAlignment="1">
      <alignment horizontal="center" vertical="center"/>
    </xf>
    <xf numFmtId="49" fontId="44" fillId="41" borderId="23" xfId="0" applyNumberFormat="1" applyFont="1" applyFill="1" applyBorder="1" applyAlignment="1">
      <alignment vertical="center"/>
    </xf>
    <xf numFmtId="49" fontId="45" fillId="43" borderId="23" xfId="0" applyNumberFormat="1" applyFont="1" applyFill="1" applyBorder="1" applyAlignment="1">
      <alignment vertical="center"/>
    </xf>
    <xf numFmtId="170" fontId="45" fillId="43" borderId="23" xfId="0" applyNumberFormat="1" applyFont="1" applyFill="1" applyBorder="1" applyAlignment="1">
      <alignment horizontal="center" vertical="center"/>
    </xf>
    <xf numFmtId="4" fontId="45" fillId="43" borderId="23" xfId="0" applyNumberFormat="1" applyFont="1" applyFill="1" applyBorder="1" applyAlignment="1">
      <alignment vertical="center"/>
    </xf>
    <xf numFmtId="170" fontId="46" fillId="42" borderId="23" xfId="0" applyNumberFormat="1" applyFont="1" applyFill="1" applyBorder="1" applyAlignment="1">
      <alignment horizontal="center" vertical="center"/>
    </xf>
    <xf numFmtId="170" fontId="45" fillId="41" borderId="23" xfId="0" applyNumberFormat="1" applyFont="1" applyFill="1" applyBorder="1" applyAlignment="1">
      <alignment horizontal="center" vertical="center"/>
    </xf>
    <xf numFmtId="4" fontId="45" fillId="41" borderId="23" xfId="0" applyNumberFormat="1" applyFont="1" applyFill="1" applyBorder="1" applyAlignment="1">
      <alignment vertical="center"/>
    </xf>
    <xf numFmtId="49" fontId="20" fillId="42" borderId="23" xfId="0" applyNumberFormat="1" applyFont="1" applyFill="1" applyBorder="1" applyAlignment="1">
      <alignment vertical="center"/>
    </xf>
    <xf numFmtId="4" fontId="45" fillId="42" borderId="24" xfId="0" applyNumberFormat="1" applyFont="1" applyFill="1" applyBorder="1" applyAlignment="1">
      <alignment vertical="center"/>
    </xf>
    <xf numFmtId="49" fontId="46" fillId="42" borderId="23" xfId="0" applyNumberFormat="1" applyFont="1" applyFill="1" applyBorder="1" applyAlignment="1">
      <alignment vertical="center"/>
    </xf>
    <xf numFmtId="4" fontId="47" fillId="43" borderId="23" xfId="0" applyNumberFormat="1" applyFont="1" applyFill="1" applyBorder="1" applyAlignment="1">
      <alignment vertical="center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4" fontId="31" fillId="41" borderId="23" xfId="0" applyNumberFormat="1" applyFont="1" applyFill="1" applyBorder="1"/>
    <xf numFmtId="4" fontId="31" fillId="41" borderId="43" xfId="0" applyNumberFormat="1" applyFont="1" applyFill="1" applyBorder="1"/>
    <xf numFmtId="4" fontId="31" fillId="42" borderId="23" xfId="0" applyNumberFormat="1" applyFont="1" applyFill="1" applyBorder="1"/>
    <xf numFmtId="4" fontId="31" fillId="42" borderId="43" xfId="0" applyNumberFormat="1" applyFont="1" applyFill="1" applyBorder="1"/>
    <xf numFmtId="49" fontId="31" fillId="41" borderId="42" xfId="0" applyNumberFormat="1" applyFont="1" applyFill="1" applyBorder="1" applyAlignment="1">
      <alignment horizontal="center" vertical="center" wrapText="1"/>
    </xf>
    <xf numFmtId="49" fontId="31" fillId="42" borderId="42" xfId="0" applyNumberFormat="1" applyFont="1" applyFill="1" applyBorder="1" applyAlignment="1">
      <alignment horizontal="center" vertical="center" wrapText="1"/>
    </xf>
    <xf numFmtId="49" fontId="31" fillId="41" borderId="23" xfId="0" applyNumberFormat="1" applyFont="1" applyFill="1" applyBorder="1" applyAlignment="1">
      <alignment horizontal="right" vertical="center" wrapText="1"/>
    </xf>
    <xf numFmtId="49" fontId="31" fillId="41" borderId="43" xfId="0" applyNumberFormat="1" applyFont="1" applyFill="1" applyBorder="1" applyAlignment="1">
      <alignment horizontal="right" vertical="center" wrapText="1"/>
    </xf>
    <xf numFmtId="49" fontId="31" fillId="42" borderId="23" xfId="0" applyNumberFormat="1" applyFont="1" applyFill="1" applyBorder="1" applyAlignment="1">
      <alignment horizontal="right" vertical="center" wrapText="1"/>
    </xf>
    <xf numFmtId="49" fontId="31" fillId="42" borderId="43" xfId="0" applyNumberFormat="1" applyFont="1" applyFill="1" applyBorder="1" applyAlignment="1">
      <alignment horizontal="right" vertical="center" wrapText="1"/>
    </xf>
    <xf numFmtId="4" fontId="31" fillId="41" borderId="23" xfId="0" applyNumberFormat="1" applyFont="1" applyFill="1" applyBorder="1" applyAlignment="1">
      <alignment horizontal="right" vertical="center" wrapText="1"/>
    </xf>
    <xf numFmtId="4" fontId="31" fillId="41" borderId="43" xfId="0" applyNumberFormat="1" applyFont="1" applyFill="1" applyBorder="1" applyAlignment="1">
      <alignment horizontal="right" vertical="center" wrapText="1"/>
    </xf>
    <xf numFmtId="4" fontId="31" fillId="42" borderId="23" xfId="0" applyNumberFormat="1" applyFont="1" applyFill="1" applyBorder="1" applyAlignment="1">
      <alignment horizontal="right" vertical="center" wrapText="1"/>
    </xf>
    <xf numFmtId="4" fontId="31" fillId="42" borderId="43" xfId="0" applyNumberFormat="1" applyFont="1" applyFill="1" applyBorder="1" applyAlignment="1">
      <alignment horizontal="right" vertical="center" wrapText="1"/>
    </xf>
    <xf numFmtId="49" fontId="34" fillId="47" borderId="42" xfId="0" applyNumberFormat="1" applyFont="1" applyFill="1" applyBorder="1" applyAlignment="1">
      <alignment horizontal="center" vertical="center" wrapText="1"/>
    </xf>
    <xf numFmtId="49" fontId="31" fillId="47" borderId="23" xfId="0" applyNumberFormat="1" applyFont="1" applyFill="1" applyBorder="1" applyAlignment="1">
      <alignment horizontal="right" vertical="center" wrapText="1"/>
    </xf>
    <xf numFmtId="49" fontId="31" fillId="42" borderId="42" xfId="0" applyNumberFormat="1" applyFont="1" applyFill="1" applyBorder="1" applyAlignment="1">
      <alignment horizontal="center"/>
    </xf>
    <xf numFmtId="49" fontId="31" fillId="41" borderId="42" xfId="0" applyNumberFormat="1" applyFont="1" applyFill="1" applyBorder="1" applyAlignment="1">
      <alignment horizontal="center"/>
    </xf>
    <xf numFmtId="49" fontId="34" fillId="48" borderId="42" xfId="0" applyNumberFormat="1" applyFont="1" applyFill="1" applyBorder="1" applyAlignment="1">
      <alignment horizontal="center" vertical="center" wrapText="1"/>
    </xf>
    <xf numFmtId="4" fontId="31" fillId="48" borderId="23" xfId="0" applyNumberFormat="1" applyFont="1" applyFill="1" applyBorder="1" applyAlignment="1">
      <alignment horizontal="right" vertical="center" wrapText="1"/>
    </xf>
    <xf numFmtId="172" fontId="34" fillId="48" borderId="23" xfId="0" applyNumberFormat="1" applyFont="1" applyFill="1" applyBorder="1" applyAlignment="1">
      <alignment horizontal="right" vertical="center" wrapText="1"/>
    </xf>
    <xf numFmtId="172" fontId="31" fillId="47" borderId="23" xfId="0" applyNumberFormat="1" applyFont="1" applyFill="1" applyBorder="1" applyAlignment="1">
      <alignment horizontal="right" vertical="center" wrapText="1"/>
    </xf>
    <xf numFmtId="172" fontId="34" fillId="47" borderId="23" xfId="0" applyNumberFormat="1" applyFont="1" applyFill="1" applyBorder="1" applyAlignment="1">
      <alignment horizontal="right" vertical="center" wrapText="1"/>
    </xf>
    <xf numFmtId="49" fontId="50" fillId="43" borderId="23" xfId="0" applyNumberFormat="1" applyFont="1" applyFill="1" applyBorder="1" applyAlignment="1">
      <alignment vertical="center"/>
    </xf>
    <xf numFmtId="170" fontId="50" fillId="43" borderId="23" xfId="0" applyNumberFormat="1" applyFont="1" applyFill="1" applyBorder="1" applyAlignment="1">
      <alignment horizontal="center" vertical="center"/>
    </xf>
    <xf numFmtId="10" fontId="43" fillId="41" borderId="23" xfId="0" applyNumberFormat="1" applyFont="1" applyFill="1" applyBorder="1" applyAlignment="1">
      <alignment vertical="center"/>
    </xf>
    <xf numFmtId="10" fontId="43" fillId="41" borderId="43" xfId="0" applyNumberFormat="1" applyFont="1" applyFill="1" applyBorder="1" applyAlignment="1">
      <alignment vertical="center"/>
    </xf>
    <xf numFmtId="10" fontId="43" fillId="42" borderId="23" xfId="0" applyNumberFormat="1" applyFont="1" applyFill="1" applyBorder="1" applyAlignment="1">
      <alignment vertical="center"/>
    </xf>
    <xf numFmtId="10" fontId="43" fillId="42" borderId="43" xfId="0" applyNumberFormat="1" applyFont="1" applyFill="1" applyBorder="1" applyAlignment="1">
      <alignment vertical="center"/>
    </xf>
    <xf numFmtId="49" fontId="50" fillId="44" borderId="23" xfId="0" applyNumberFormat="1" applyFont="1" applyFill="1" applyBorder="1" applyAlignment="1">
      <alignment vertical="center"/>
    </xf>
    <xf numFmtId="170" fontId="50" fillId="44" borderId="23" xfId="0" applyNumberFormat="1" applyFont="1" applyFill="1" applyBorder="1" applyAlignment="1">
      <alignment horizontal="center" vertical="center"/>
    </xf>
    <xf numFmtId="172" fontId="41" fillId="43" borderId="0" xfId="0" applyNumberFormat="1" applyFont="1" applyFill="1" applyAlignment="1">
      <alignment vertical="center"/>
    </xf>
    <xf numFmtId="172" fontId="37" fillId="45" borderId="38" xfId="0" applyNumberFormat="1" applyFont="1" applyFill="1" applyBorder="1" applyAlignment="1">
      <alignment horizontal="right" vertical="center"/>
    </xf>
    <xf numFmtId="10" fontId="37" fillId="45" borderId="38" xfId="0" applyNumberFormat="1" applyFont="1" applyFill="1" applyBorder="1" applyAlignment="1">
      <alignment vertical="center"/>
    </xf>
    <xf numFmtId="49" fontId="50" fillId="41" borderId="23" xfId="0" applyNumberFormat="1" applyFont="1" applyFill="1" applyBorder="1" applyAlignment="1">
      <alignment vertical="center"/>
    </xf>
    <xf numFmtId="4" fontId="24" fillId="5" borderId="24" xfId="0" applyNumberFormat="1" applyFont="1" applyBorder="1"/>
    <xf numFmtId="0" fontId="0" fillId="5" borderId="49" xfId="0" pivotButton="1" applyBorder="1" applyAlignment="1">
      <alignment horizontal="center" vertical="center" wrapText="1"/>
    </xf>
    <xf numFmtId="0" fontId="0" fillId="5" borderId="50" xfId="0" applyBorder="1"/>
    <xf numFmtId="0" fontId="0" fillId="5" borderId="53" xfId="0" applyBorder="1" applyAlignment="1">
      <alignment horizontal="left"/>
    </xf>
    <xf numFmtId="4" fontId="0" fillId="5" borderId="54" xfId="0" applyNumberFormat="1" applyBorder="1"/>
    <xf numFmtId="4" fontId="24" fillId="5" borderId="52" xfId="0" applyNumberFormat="1" applyFont="1" applyBorder="1"/>
    <xf numFmtId="0" fontId="24" fillId="5" borderId="51" xfId="0" applyFont="1" applyBorder="1" applyAlignment="1">
      <alignment horizontal="center" vertical="center"/>
    </xf>
    <xf numFmtId="0" fontId="0" fillId="5" borderId="55" xfId="0" applyBorder="1"/>
    <xf numFmtId="4" fontId="0" fillId="5" borderId="57" xfId="0" applyNumberFormat="1" applyBorder="1"/>
    <xf numFmtId="4" fontId="24" fillId="5" borderId="56" xfId="0" applyNumberFormat="1" applyFont="1" applyBorder="1"/>
    <xf numFmtId="4" fontId="24" fillId="5" borderId="23" xfId="0" applyNumberFormat="1" applyFont="1" applyBorder="1"/>
    <xf numFmtId="3" fontId="24" fillId="5" borderId="23" xfId="0" applyNumberFormat="1" applyFont="1" applyBorder="1"/>
    <xf numFmtId="0" fontId="0" fillId="5" borderId="20" xfId="0" applyBorder="1"/>
    <xf numFmtId="0" fontId="20" fillId="44" borderId="44" xfId="0" applyFont="1" applyFill="1" applyBorder="1" applyAlignment="1">
      <alignment vertical="center"/>
    </xf>
    <xf numFmtId="0" fontId="20" fillId="44" borderId="45" xfId="0" applyFont="1" applyFill="1" applyBorder="1" applyAlignment="1">
      <alignment horizontal="center" vertical="center"/>
    </xf>
    <xf numFmtId="4" fontId="41" fillId="44" borderId="45" xfId="0" applyNumberFormat="1" applyFont="1" applyFill="1" applyBorder="1" applyAlignment="1">
      <alignment vertical="center"/>
    </xf>
    <xf numFmtId="172" fontId="41" fillId="44" borderId="45" xfId="0" applyNumberFormat="1" applyFont="1" applyFill="1" applyBorder="1" applyAlignment="1">
      <alignment vertical="center"/>
    </xf>
    <xf numFmtId="49" fontId="46" fillId="43" borderId="23" xfId="0" applyNumberFormat="1" applyFont="1" applyFill="1" applyBorder="1" applyAlignment="1">
      <alignment vertical="center"/>
    </xf>
    <xf numFmtId="170" fontId="46" fillId="43" borderId="23" xfId="0" applyNumberFormat="1" applyFont="1" applyFill="1" applyBorder="1" applyAlignment="1">
      <alignment horizontal="center" vertical="center"/>
    </xf>
    <xf numFmtId="49" fontId="45" fillId="42" borderId="23" xfId="0" applyNumberFormat="1" applyFont="1" applyFill="1" applyBorder="1" applyAlignment="1">
      <alignment vertical="center"/>
    </xf>
    <xf numFmtId="172" fontId="41" fillId="49" borderId="23" xfId="0" applyNumberFormat="1" applyFont="1" applyFill="1" applyBorder="1" applyAlignment="1">
      <alignment vertical="center"/>
    </xf>
    <xf numFmtId="4" fontId="20" fillId="37" borderId="23" xfId="0" applyNumberFormat="1" applyFont="1" applyFill="1" applyBorder="1" applyAlignment="1">
      <alignment vertical="center"/>
    </xf>
    <xf numFmtId="49" fontId="50" fillId="44" borderId="45" xfId="0" applyNumberFormat="1" applyFont="1" applyFill="1" applyBorder="1" applyAlignment="1">
      <alignment vertical="center"/>
    </xf>
    <xf numFmtId="170" fontId="50" fillId="44" borderId="45" xfId="0" applyNumberFormat="1" applyFont="1" applyFill="1" applyBorder="1" applyAlignment="1">
      <alignment horizontal="center" vertical="center"/>
    </xf>
    <xf numFmtId="10" fontId="43" fillId="42" borderId="45" xfId="0" applyNumberFormat="1" applyFont="1" applyFill="1" applyBorder="1" applyAlignment="1">
      <alignment vertical="center"/>
    </xf>
    <xf numFmtId="10" fontId="43" fillId="42" borderId="46" xfId="0" applyNumberFormat="1" applyFont="1" applyFill="1" applyBorder="1" applyAlignment="1">
      <alignment vertical="center"/>
    </xf>
    <xf numFmtId="0" fontId="32" fillId="40" borderId="41" xfId="0" applyFont="1" applyFill="1" applyBorder="1" applyAlignment="1">
      <alignment horizontal="center" vertical="center" wrapText="1"/>
    </xf>
    <xf numFmtId="14" fontId="0" fillId="5" borderId="0" xfId="0" applyNumberFormat="1"/>
    <xf numFmtId="0" fontId="20" fillId="41" borderId="25" xfId="0" applyFont="1" applyFill="1" applyBorder="1" applyAlignment="1">
      <alignment vertical="center"/>
    </xf>
    <xf numFmtId="0" fontId="20" fillId="41" borderId="26" xfId="0" applyFont="1" applyFill="1" applyBorder="1" applyAlignment="1">
      <alignment horizontal="center" vertical="center"/>
    </xf>
    <xf numFmtId="4" fontId="20" fillId="41" borderId="26" xfId="0" applyNumberFormat="1" applyFont="1" applyFill="1" applyBorder="1" applyAlignment="1">
      <alignment vertical="center"/>
    </xf>
    <xf numFmtId="4" fontId="20" fillId="41" borderId="37" xfId="0" applyNumberFormat="1" applyFont="1" applyFill="1" applyBorder="1" applyAlignment="1">
      <alignment vertical="center"/>
    </xf>
    <xf numFmtId="0" fontId="37" fillId="46" borderId="42" xfId="0" applyFont="1" applyFill="1" applyBorder="1" applyAlignment="1">
      <alignment vertical="center"/>
    </xf>
    <xf numFmtId="0" fontId="0" fillId="46" borderId="23" xfId="0" applyFill="1" applyBorder="1"/>
    <xf numFmtId="0" fontId="37" fillId="46" borderId="23" xfId="0" applyFont="1" applyFill="1" applyBorder="1" applyAlignment="1">
      <alignment vertical="center"/>
    </xf>
    <xf numFmtId="4" fontId="37" fillId="46" borderId="23" xfId="0" applyNumberFormat="1" applyFont="1" applyFill="1" applyBorder="1" applyAlignment="1">
      <alignment vertical="center"/>
    </xf>
    <xf numFmtId="0" fontId="37" fillId="46" borderId="43" xfId="0" applyFont="1" applyFill="1" applyBorder="1" applyAlignment="1">
      <alignment vertical="center"/>
    </xf>
    <xf numFmtId="4" fontId="45" fillId="43" borderId="24" xfId="0" applyNumberFormat="1" applyFont="1" applyFill="1" applyBorder="1" applyAlignment="1">
      <alignment vertical="center"/>
    </xf>
    <xf numFmtId="10" fontId="43" fillId="42" borderId="43" xfId="10" applyNumberFormat="1" applyFont="1" applyFill="1" applyBorder="1" applyAlignment="1">
      <alignment vertical="center"/>
    </xf>
    <xf numFmtId="10" fontId="43" fillId="42" borderId="23" xfId="10" applyNumberFormat="1" applyFont="1" applyFill="1" applyBorder="1" applyAlignment="1">
      <alignment vertical="center"/>
    </xf>
    <xf numFmtId="4" fontId="47" fillId="44" borderId="23" xfId="0" applyNumberFormat="1" applyFont="1" applyFill="1" applyBorder="1" applyAlignment="1">
      <alignment vertical="center"/>
    </xf>
    <xf numFmtId="4" fontId="47" fillId="42" borderId="23" xfId="0" applyNumberFormat="1" applyFont="1" applyFill="1" applyBorder="1" applyAlignment="1">
      <alignment vertical="center"/>
    </xf>
    <xf numFmtId="49" fontId="34" fillId="48" borderId="0" xfId="0" applyNumberFormat="1" applyFont="1" applyFill="1" applyAlignment="1">
      <alignment horizontal="center" vertical="center" wrapText="1"/>
    </xf>
    <xf numFmtId="10" fontId="34" fillId="47" borderId="23" xfId="0" applyNumberFormat="1" applyFont="1" applyFill="1" applyBorder="1" applyAlignment="1">
      <alignment horizontal="right" vertical="center" wrapText="1"/>
    </xf>
    <xf numFmtId="49" fontId="34" fillId="47" borderId="58" xfId="0" applyNumberFormat="1" applyFont="1" applyFill="1" applyBorder="1" applyAlignment="1">
      <alignment horizontal="center" vertical="center" wrapText="1"/>
    </xf>
    <xf numFmtId="172" fontId="34" fillId="47" borderId="20" xfId="0" applyNumberFormat="1" applyFont="1" applyFill="1" applyBorder="1" applyAlignment="1">
      <alignment horizontal="right" vertical="center" wrapText="1"/>
    </xf>
    <xf numFmtId="49" fontId="31" fillId="42" borderId="44" xfId="0" applyNumberFormat="1" applyFont="1" applyFill="1" applyBorder="1" applyAlignment="1">
      <alignment horizontal="center" vertical="center" wrapText="1"/>
    </xf>
    <xf numFmtId="4" fontId="31" fillId="42" borderId="45" xfId="0" applyNumberFormat="1" applyFont="1" applyFill="1" applyBorder="1" applyAlignment="1">
      <alignment horizontal="right" vertical="center" wrapText="1"/>
    </xf>
    <xf numFmtId="4" fontId="31" fillId="42" borderId="46" xfId="0" applyNumberFormat="1" applyFont="1" applyFill="1" applyBorder="1" applyAlignment="1">
      <alignment horizontal="right" vertical="center" wrapText="1"/>
    </xf>
    <xf numFmtId="4" fontId="51" fillId="5" borderId="0" xfId="0" applyNumberFormat="1" applyFont="1"/>
    <xf numFmtId="49" fontId="31" fillId="44" borderId="23" xfId="0" applyNumberFormat="1" applyFont="1" applyFill="1" applyBorder="1" applyAlignment="1">
      <alignment vertical="center"/>
    </xf>
    <xf numFmtId="49" fontId="31" fillId="43" borderId="23" xfId="0" applyNumberFormat="1" applyFont="1" applyFill="1" applyBorder="1" applyAlignment="1">
      <alignment vertical="center"/>
    </xf>
    <xf numFmtId="49" fontId="31" fillId="42" borderId="23" xfId="0" applyNumberFormat="1" applyFont="1" applyFill="1" applyBorder="1" applyAlignment="1">
      <alignment vertical="center"/>
    </xf>
    <xf numFmtId="0" fontId="52" fillId="41" borderId="22" xfId="0" applyFont="1" applyFill="1" applyBorder="1" applyAlignment="1">
      <alignment vertical="center"/>
    </xf>
    <xf numFmtId="0" fontId="52" fillId="41" borderId="23" xfId="0" applyFont="1" applyFill="1" applyBorder="1" applyAlignment="1">
      <alignment horizontal="center" vertical="center"/>
    </xf>
    <xf numFmtId="49" fontId="53" fillId="41" borderId="23" xfId="0" applyNumberFormat="1" applyFont="1" applyFill="1" applyBorder="1" applyAlignment="1">
      <alignment vertical="center"/>
    </xf>
    <xf numFmtId="0" fontId="54" fillId="41" borderId="22" xfId="0" applyFont="1" applyFill="1" applyBorder="1" applyAlignment="1">
      <alignment vertical="center"/>
    </xf>
    <xf numFmtId="0" fontId="54" fillId="41" borderId="23" xfId="0" applyFont="1" applyFill="1" applyBorder="1" applyAlignment="1">
      <alignment horizontal="center" vertical="center"/>
    </xf>
    <xf numFmtId="49" fontId="55" fillId="41" borderId="23" xfId="0" applyNumberFormat="1" applyFont="1" applyFill="1" applyBorder="1" applyAlignment="1">
      <alignment vertical="center"/>
    </xf>
    <xf numFmtId="0" fontId="54" fillId="42" borderId="22" xfId="0" applyFont="1" applyFill="1" applyBorder="1" applyAlignment="1">
      <alignment vertical="center"/>
    </xf>
    <xf numFmtId="0" fontId="54" fillId="42" borderId="23" xfId="0" applyFont="1" applyFill="1" applyBorder="1" applyAlignment="1">
      <alignment horizontal="center" vertical="center"/>
    </xf>
    <xf numFmtId="49" fontId="56" fillId="42" borderId="23" xfId="0" applyNumberFormat="1" applyFont="1" applyFill="1" applyBorder="1" applyAlignment="1">
      <alignment vertical="center"/>
    </xf>
    <xf numFmtId="0" fontId="54" fillId="43" borderId="22" xfId="0" applyFont="1" applyFill="1" applyBorder="1" applyAlignment="1">
      <alignment vertical="center"/>
    </xf>
    <xf numFmtId="0" fontId="54" fillId="43" borderId="23" xfId="0" applyFont="1" applyFill="1" applyBorder="1" applyAlignment="1">
      <alignment horizontal="center" vertical="center"/>
    </xf>
    <xf numFmtId="49" fontId="55" fillId="43" borderId="23" xfId="0" applyNumberFormat="1" applyFont="1" applyFill="1" applyBorder="1" applyAlignment="1">
      <alignment vertical="center"/>
    </xf>
    <xf numFmtId="49" fontId="55" fillId="42" borderId="23" xfId="0" applyNumberFormat="1" applyFont="1" applyFill="1" applyBorder="1" applyAlignment="1">
      <alignment vertical="center"/>
    </xf>
    <xf numFmtId="49" fontId="54" fillId="41" borderId="23" xfId="0" applyNumberFormat="1" applyFont="1" applyFill="1" applyBorder="1" applyAlignment="1">
      <alignment vertical="center"/>
    </xf>
    <xf numFmtId="0" fontId="52" fillId="44" borderId="42" xfId="0" applyFont="1" applyFill="1" applyBorder="1" applyAlignment="1">
      <alignment vertical="center"/>
    </xf>
    <xf numFmtId="0" fontId="52" fillId="44" borderId="23" xfId="0" applyFont="1" applyFill="1" applyBorder="1" applyAlignment="1">
      <alignment horizontal="center" vertical="center"/>
    </xf>
    <xf numFmtId="0" fontId="54" fillId="44" borderId="42" xfId="0" applyFont="1" applyFill="1" applyBorder="1" applyAlignment="1">
      <alignment vertical="center"/>
    </xf>
    <xf numFmtId="0" fontId="54" fillId="44" borderId="23" xfId="0" applyFont="1" applyFill="1" applyBorder="1" applyAlignment="1">
      <alignment horizontal="center" vertical="center"/>
    </xf>
    <xf numFmtId="0" fontId="54" fillId="43" borderId="42" xfId="0" applyFont="1" applyFill="1" applyBorder="1" applyAlignment="1">
      <alignment vertical="center"/>
    </xf>
    <xf numFmtId="0" fontId="54" fillId="42" borderId="42" xfId="0" applyFont="1" applyFill="1" applyBorder="1" applyAlignment="1">
      <alignment vertical="center"/>
    </xf>
    <xf numFmtId="10" fontId="57" fillId="41" borderId="23" xfId="0" applyNumberFormat="1" applyFont="1" applyFill="1" applyBorder="1" applyAlignment="1">
      <alignment horizontal="right" vertical="center"/>
    </xf>
    <xf numFmtId="10" fontId="57" fillId="42" borderId="23" xfId="0" applyNumberFormat="1" applyFont="1" applyFill="1" applyBorder="1" applyAlignment="1">
      <alignment horizontal="right" vertical="center"/>
    </xf>
    <xf numFmtId="173" fontId="57" fillId="41" borderId="43" xfId="0" applyNumberFormat="1" applyFont="1" applyFill="1" applyBorder="1" applyAlignment="1">
      <alignment horizontal="right" vertical="center"/>
    </xf>
    <xf numFmtId="173" fontId="57" fillId="42" borderId="43" xfId="0" applyNumberFormat="1" applyFont="1" applyFill="1" applyBorder="1" applyAlignment="1">
      <alignment horizontal="right" vertical="center"/>
    </xf>
    <xf numFmtId="49" fontId="46" fillId="41" borderId="26" xfId="0" applyNumberFormat="1" applyFont="1" applyFill="1" applyBorder="1" applyAlignment="1">
      <alignment vertical="center"/>
    </xf>
    <xf numFmtId="170" fontId="48" fillId="41" borderId="26" xfId="0" applyNumberFormat="1" applyFont="1" applyFill="1" applyBorder="1" applyAlignment="1">
      <alignment horizontal="center" vertical="center"/>
    </xf>
    <xf numFmtId="4" fontId="48" fillId="41" borderId="26" xfId="0" applyNumberFormat="1" applyFont="1" applyFill="1" applyBorder="1" applyAlignment="1">
      <alignment vertical="center"/>
    </xf>
    <xf numFmtId="4" fontId="48" fillId="43" borderId="26" xfId="0" applyNumberFormat="1" applyFont="1" applyFill="1" applyBorder="1" applyAlignment="1">
      <alignment vertical="center"/>
    </xf>
    <xf numFmtId="4" fontId="45" fillId="41" borderId="26" xfId="0" applyNumberFormat="1" applyFont="1" applyFill="1" applyBorder="1" applyAlignment="1">
      <alignment vertical="center"/>
    </xf>
    <xf numFmtId="4" fontId="45" fillId="41" borderId="24" xfId="0" applyNumberFormat="1" applyFont="1" applyFill="1" applyBorder="1" applyAlignment="1">
      <alignment vertical="center"/>
    </xf>
    <xf numFmtId="172" fontId="41" fillId="44" borderId="42" xfId="0" applyNumberFormat="1" applyFont="1" applyFill="1" applyBorder="1" applyAlignment="1">
      <alignment vertical="center"/>
    </xf>
    <xf numFmtId="0" fontId="0" fillId="5" borderId="19" xfId="0" pivotButton="1" applyBorder="1" applyAlignment="1">
      <alignment horizontal="center" vertical="center" wrapText="1"/>
    </xf>
    <xf numFmtId="0" fontId="0" fillId="5" borderId="20" xfId="0" applyBorder="1" applyAlignment="1">
      <alignment horizontal="center" vertical="center" wrapText="1"/>
    </xf>
    <xf numFmtId="0" fontId="0" fillId="5" borderId="26" xfId="0" applyBorder="1"/>
    <xf numFmtId="0" fontId="0" fillId="5" borderId="37" xfId="0" applyBorder="1"/>
    <xf numFmtId="0" fontId="59" fillId="41" borderId="42" xfId="0" applyFont="1" applyFill="1" applyBorder="1" applyAlignment="1">
      <alignment horizontal="center" vertical="center"/>
    </xf>
    <xf numFmtId="0" fontId="59" fillId="42" borderId="42" xfId="0" applyFont="1" applyFill="1" applyBorder="1" applyAlignment="1">
      <alignment horizontal="center" vertical="center"/>
    </xf>
    <xf numFmtId="0" fontId="57" fillId="41" borderId="42" xfId="0" applyFont="1" applyFill="1" applyBorder="1" applyAlignment="1">
      <alignment horizontal="center" vertical="center"/>
    </xf>
    <xf numFmtId="0" fontId="57" fillId="42" borderId="42" xfId="0" applyFont="1" applyFill="1" applyBorder="1" applyAlignment="1">
      <alignment horizontal="center" vertical="center"/>
    </xf>
    <xf numFmtId="0" fontId="57" fillId="41" borderId="44" xfId="0" applyFont="1" applyFill="1" applyBorder="1" applyAlignment="1">
      <alignment horizontal="center" vertical="center"/>
    </xf>
    <xf numFmtId="10" fontId="57" fillId="41" borderId="45" xfId="0" applyNumberFormat="1" applyFont="1" applyFill="1" applyBorder="1" applyAlignment="1">
      <alignment vertical="center"/>
    </xf>
    <xf numFmtId="173" fontId="57" fillId="41" borderId="46" xfId="0" applyNumberFormat="1" applyFont="1" applyFill="1" applyBorder="1"/>
    <xf numFmtId="0" fontId="60" fillId="5" borderId="0" xfId="0" applyFont="1"/>
    <xf numFmtId="49" fontId="61" fillId="42" borderId="23" xfId="0" applyNumberFormat="1" applyFont="1" applyFill="1" applyBorder="1" applyAlignment="1">
      <alignment vertical="center"/>
    </xf>
    <xf numFmtId="0" fontId="62" fillId="5" borderId="0" xfId="0" applyFont="1"/>
    <xf numFmtId="49" fontId="63" fillId="41" borderId="23" xfId="0" applyNumberFormat="1" applyFont="1" applyFill="1" applyBorder="1" applyAlignment="1">
      <alignment horizontal="center" vertical="center" wrapText="1"/>
    </xf>
    <xf numFmtId="49" fontId="63" fillId="42" borderId="23" xfId="0" applyNumberFormat="1" applyFont="1" applyFill="1" applyBorder="1" applyAlignment="1">
      <alignment horizontal="center" vertical="center" wrapText="1"/>
    </xf>
    <xf numFmtId="49" fontId="64" fillId="42" borderId="23" xfId="0" applyNumberFormat="1" applyFont="1" applyFill="1" applyBorder="1" applyAlignment="1">
      <alignment horizontal="center" vertical="center" wrapText="1"/>
    </xf>
    <xf numFmtId="49" fontId="64" fillId="41" borderId="23" xfId="0" applyNumberFormat="1" applyFont="1" applyFill="1" applyBorder="1" applyAlignment="1">
      <alignment horizontal="center" vertical="center" wrapText="1"/>
    </xf>
  </cellXfs>
  <cellStyles count="51">
    <cellStyle name="20 % - Accent1" xfId="24" builtinId="30" customBuiltin="1"/>
    <cellStyle name="20 % - Accent2" xfId="28" builtinId="34" customBuiltin="1"/>
    <cellStyle name="20 % - Accent3" xfId="32" builtinId="38" customBuiltin="1"/>
    <cellStyle name="20 % - Accent4" xfId="36" builtinId="42" customBuiltin="1"/>
    <cellStyle name="20 % - Accent5" xfId="40" builtinId="46" customBuiltin="1"/>
    <cellStyle name="20 % - Accent6" xfId="44" builtinId="50" customBuiltin="1"/>
    <cellStyle name="40 % - Accent1" xfId="25" builtinId="31" customBuiltin="1"/>
    <cellStyle name="40 % - Accent2" xfId="29" builtinId="35" customBuiltin="1"/>
    <cellStyle name="40 % - Accent3" xfId="33" builtinId="39" customBuiltin="1"/>
    <cellStyle name="40 % - Accent4" xfId="37" builtinId="43" customBuiltin="1"/>
    <cellStyle name="40 % - Accent5" xfId="41" builtinId="47" customBuiltin="1"/>
    <cellStyle name="40 % - Accent6" xfId="45" builtinId="51" customBuiltin="1"/>
    <cellStyle name="60 % - Accent1" xfId="26" builtinId="32" customBuiltin="1"/>
    <cellStyle name="60 % - Accent2" xfId="30" builtinId="36" customBuiltin="1"/>
    <cellStyle name="60 % - Accent3" xfId="34" builtinId="40" customBuiltin="1"/>
    <cellStyle name="60 % - Accent4" xfId="38" builtinId="44" customBuiltin="1"/>
    <cellStyle name="60 % - Accent5" xfId="42" builtinId="48" customBuiltin="1"/>
    <cellStyle name="60 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Avertissement" xfId="20" builtinId="11" customBuiltin="1"/>
    <cellStyle name="Calcul" xfId="17" builtinId="22" customBuiltin="1"/>
    <cellStyle name="Cellule liée" xfId="18" builtinId="24" customBuiltin="1"/>
    <cellStyle name="Entrée" xfId="15" builtinId="20" customBuiltin="1"/>
    <cellStyle name="Insatisfaisant" xfId="13" builtinId="27" customBuiltin="1"/>
    <cellStyle name="Milliers" xfId="6" builtinId="3" customBuiltin="1"/>
    <cellStyle name="Milliers [0]" xfId="7" builtinId="6" customBuiltin="1"/>
    <cellStyle name="Monétaire" xfId="8" builtinId="4" customBuiltin="1"/>
    <cellStyle name="Monétaire [0]" xfId="9" builtinId="7" customBuiltin="1"/>
    <cellStyle name="Neutre" xfId="14" builtinId="28" customBuiltin="1"/>
    <cellStyle name="Normal" xfId="0" builtinId="0" customBuiltin="1"/>
    <cellStyle name="Normal 2" xfId="47" xr:uid="{B45C5ED8-EE20-C645-B6FE-B7507E5323EB}"/>
    <cellStyle name="Normal 3" xfId="48" xr:uid="{84C502A2-81BC-A249-86F6-C3864BC73415}"/>
    <cellStyle name="Normal 4" xfId="49" xr:uid="{71C483A6-3A1B-9843-949D-2240054BEF71}"/>
    <cellStyle name="Normal 5" xfId="50" xr:uid="{69E034AE-BAD6-7B43-8E68-696EF824BA3B}"/>
    <cellStyle name="Note" xfId="21" builtinId="10" customBuiltin="1"/>
    <cellStyle name="Pourcentage" xfId="10" builtinId="5" customBuiltin="1"/>
    <cellStyle name="Satisfaisant" xfId="12" builtinId="26" customBuiltin="1"/>
    <cellStyle name="Sortie" xfId="16" builtinId="21" customBuiltin="1"/>
    <cellStyle name="Texte explicatif" xfId="5" builtinId="53" customBuiltin="1"/>
    <cellStyle name="Titre" xfId="11" builtinId="15" customBuiltin="1"/>
    <cellStyle name="Titre 1" xfId="1" builtinId="16" customBuiltin="1"/>
    <cellStyle name="Titre 2" xfId="2" builtinId="17" customBuiltin="1"/>
    <cellStyle name="Titre 3" xfId="3" builtinId="18" customBuiltin="1"/>
    <cellStyle name="Titre 4" xfId="4" builtinId="19" customBuiltin="1"/>
    <cellStyle name="Total" xfId="22" builtinId="25" customBuiltin="1"/>
    <cellStyle name="Vérification" xfId="19" builtinId="23" customBuiltin="1"/>
  </cellStyles>
  <dxfs count="16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u val="none"/>
        <color theme="4"/>
      </font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</dxf>
    <dxf>
      <font>
        <b/>
        <i val="0"/>
        <color rgb="FF0070C0"/>
      </font>
    </dxf>
    <dxf>
      <font>
        <strike val="0"/>
        <color rgb="FF99CCFF"/>
      </font>
    </dxf>
    <dxf>
      <font>
        <color rgb="FFC00000"/>
      </font>
    </dxf>
    <dxf>
      <font>
        <b/>
        <i val="0"/>
        <strike val="0"/>
        <color rgb="FFFF0000"/>
      </font>
    </dxf>
    <dxf>
      <font>
        <b/>
        <i val="0"/>
        <color rgb="FF0070C0"/>
      </font>
    </dxf>
    <dxf>
      <font>
        <b/>
        <i val="0"/>
        <color rgb="FF00B0F0"/>
      </font>
    </dxf>
    <dxf>
      <font>
        <b/>
        <i val="0"/>
        <color rgb="FF0070C0"/>
      </font>
    </dxf>
    <dxf>
      <font>
        <strike val="0"/>
        <color rgb="FF99CCFF"/>
      </font>
    </dxf>
    <dxf>
      <font>
        <color rgb="FFC00000"/>
      </font>
    </dxf>
    <dxf>
      <font>
        <strike val="0"/>
        <color rgb="FF99CCFF"/>
      </font>
    </dxf>
    <dxf>
      <font>
        <strike val="0"/>
        <color rgb="FF99CCFF"/>
      </font>
    </dxf>
    <dxf>
      <font>
        <b/>
        <i val="0"/>
        <color rgb="FF00B0F0"/>
      </font>
    </dxf>
    <dxf>
      <font>
        <b/>
        <i val="0"/>
        <color rgb="FF0070C0"/>
      </font>
    </dxf>
    <dxf>
      <font>
        <strike val="0"/>
        <color rgb="FF99CCFF"/>
      </font>
    </dxf>
    <dxf>
      <font>
        <color rgb="FFC00000"/>
      </font>
    </dxf>
    <dxf>
      <font>
        <color rgb="FFC00000"/>
      </font>
    </dxf>
    <dxf>
      <font>
        <strike val="0"/>
        <color rgb="FF99CCFF"/>
      </font>
    </dxf>
    <dxf>
      <font>
        <color rgb="FFC00000"/>
      </font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theme="6"/>
        </left>
        <right style="thin">
          <color theme="6"/>
        </right>
        <top/>
        <bottom/>
        <vertical style="thin">
          <color theme="6"/>
        </vertical>
        <horizontal style="thin">
          <color theme="6"/>
        </horizontal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/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0" formatCode="General"/>
      <fill>
        <patternFill patternType="solid">
          <fgColor indexed="64"/>
          <bgColor rgb="FF99CCFF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4" formatCode="#,##0.00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/>
        <right style="thin">
          <color theme="6"/>
        </right>
        <top style="thin">
          <color theme="6"/>
        </top>
        <bottom style="thin">
          <color theme="6"/>
        </bottom>
        <vertical style="thin">
          <color theme="6"/>
        </vertical>
        <horizontal style="thin">
          <color theme="6"/>
        </horizontal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theme="6"/>
        </left>
        <right style="thin">
          <color theme="6"/>
        </right>
        <top/>
        <bottom/>
        <vertical style="thin">
          <color theme="6"/>
        </vertical>
        <horizontal style="thin">
          <color theme="6"/>
        </horizontal>
      </border>
    </dxf>
    <dxf>
      <border diagonalUp="0" diagonalDown="0">
        <left/>
        <right/>
        <top/>
        <bottom style="thin">
          <color theme="3" tint="0.79998168889431442"/>
        </bottom>
      </border>
    </dxf>
    <dxf>
      <fill>
        <patternFill patternType="solid">
          <fgColor indexed="64"/>
          <bgColor theme="9" tint="0.79998168889431442"/>
        </patternFill>
      </fill>
    </dxf>
    <dxf>
      <border>
        <bottom style="thin">
          <color theme="6"/>
        </bottom>
      </border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Tahoma"/>
        <family val="2"/>
        <scheme val="none"/>
      </font>
      <fill>
        <patternFill patternType="solid">
          <fgColor indexed="64"/>
          <bgColor rgb="FF9900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6"/>
        </left>
        <right style="thin">
          <color theme="6"/>
        </right>
        <top/>
        <bottom/>
      </border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170" formatCode="[$-416]d\-mmm\-yy;@"/>
    </dxf>
    <dxf>
      <numFmt numFmtId="170" formatCode="[$-416]d\-mmm\-yy;@"/>
    </dxf>
    <dxf>
      <numFmt numFmtId="170" formatCode="[$-416]d\-mmm\-yy;@"/>
    </dxf>
    <dxf>
      <border>
        <vertical style="thin">
          <color rgb="FFFFCC99"/>
        </vertical>
        <horizontal style="thin">
          <color rgb="FFFFCC99"/>
        </horizontal>
      </border>
    </dxf>
    <dxf>
      <border>
        <vertical style="thin">
          <color rgb="FFFFCC99"/>
        </vertical>
        <horizontal style="thin">
          <color rgb="FFFFCC99"/>
        </horizontal>
      </border>
    </dxf>
    <dxf>
      <border>
        <vertical style="thin">
          <color rgb="FFFFCC99"/>
        </vertical>
        <horizontal style="thin">
          <color rgb="FFFFCC99"/>
        </horizontal>
      </border>
    </dxf>
    <dxf>
      <border>
        <vertical style="thin">
          <color rgb="FFFFCC99"/>
        </vertical>
        <horizontal style="thin">
          <color rgb="FFFFCC99"/>
        </horizontal>
      </border>
    </dxf>
    <dxf>
      <border>
        <vertical style="thin">
          <color rgb="FFFFCC99"/>
        </vertical>
        <horizontal style="thin">
          <color rgb="FFFFCC99"/>
        </horizontal>
      </border>
    </dxf>
    <dxf>
      <border>
        <vertical style="thin">
          <color rgb="FFFFCC99"/>
        </vertical>
        <horizontal style="thin">
          <color rgb="FFFFCC99"/>
        </horizontal>
      </border>
    </dxf>
    <dxf>
      <numFmt numFmtId="170" formatCode="[$-416]d\-mmm\-yy;@"/>
    </dxf>
    <dxf>
      <numFmt numFmtId="174" formatCode="#,##0.00\ &quot;R$&quot;"/>
    </dxf>
    <dxf>
      <numFmt numFmtId="169" formatCode="&quot;R$&quot;#,##0.00"/>
    </dxf>
    <dxf>
      <alignment horizontal="center"/>
    </dxf>
    <dxf>
      <alignment vertical="center"/>
    </dxf>
    <dxf>
      <font>
        <color theme="1" tint="0.14999847407452621"/>
      </font>
    </dxf>
    <dxf>
      <font>
        <color theme="1" tint="0.14999847407452621"/>
      </font>
    </dxf>
    <dxf>
      <numFmt numFmtId="4" formatCode="#,##0.00"/>
    </dxf>
    <dxf>
      <alignment wrapText="1"/>
    </dxf>
    <dxf>
      <alignment horizontal="center" vertical="center"/>
    </dxf>
    <dxf>
      <border>
        <vertical style="thin">
          <color theme="9"/>
        </vertical>
        <horizontal style="thin">
          <color theme="9"/>
        </horizontal>
      </border>
    </dxf>
    <dxf>
      <border>
        <vertical style="thin">
          <color theme="9"/>
        </vertical>
        <horizontal style="thin">
          <color theme="9"/>
        </horizontal>
      </border>
    </dxf>
    <dxf>
      <border>
        <vertical style="thin">
          <color theme="9"/>
        </vertical>
        <horizontal style="thin">
          <color theme="9"/>
        </horizontal>
      </border>
    </dxf>
    <dxf>
      <border>
        <vertical style="thin">
          <color theme="9"/>
        </vertical>
        <horizontal style="thin">
          <color theme="9"/>
        </horizontal>
      </border>
    </dxf>
    <dxf>
      <border>
        <vertical style="thin">
          <color theme="9"/>
        </vertical>
        <horizontal style="thin">
          <color theme="9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numFmt numFmtId="3" formatCode="#,##0"/>
    </dxf>
    <dxf>
      <numFmt numFmtId="4" formatCode="#,##0.00"/>
    </dxf>
    <dxf>
      <numFmt numFmtId="4" formatCode="#,##0.00"/>
    </dxf>
    <dxf>
      <font>
        <color theme="1" tint="0.14999847407452621"/>
      </font>
    </dxf>
    <dxf>
      <font>
        <color theme="1" tint="0.14999847407452621"/>
      </font>
    </dxf>
    <dxf>
      <border>
        <vertical style="thin">
          <color rgb="FFFF0000"/>
        </vertical>
        <horizontal style="thin">
          <color rgb="FFFF0000"/>
        </horizontal>
      </border>
    </dxf>
    <dxf>
      <border>
        <vertical style="thin">
          <color rgb="FFFF0000"/>
        </vertical>
        <horizontal style="thin">
          <color rgb="FFFF0000"/>
        </horizontal>
      </border>
    </dxf>
    <dxf>
      <border>
        <vertical style="thin">
          <color rgb="FFFF0000"/>
        </vertical>
        <horizontal style="thin">
          <color rgb="FFFF0000"/>
        </horizontal>
      </border>
    </dxf>
    <dxf>
      <border>
        <vertical style="thin">
          <color rgb="FFFF0000"/>
        </vertical>
        <horizontal style="thin">
          <color rgb="FFFF0000"/>
        </horizontal>
      </border>
    </dxf>
    <dxf>
      <border>
        <vertical style="thin">
          <color rgb="FFFF0000"/>
        </vertical>
        <horizontal style="thin">
          <color rgb="FFFF0000"/>
        </horizontal>
      </border>
    </dxf>
    <dxf>
      <border>
        <vertical style="thin">
          <color rgb="FFFF0000"/>
        </vertical>
        <horizontal style="thin">
          <color rgb="FFFF0000"/>
        </horizontal>
      </border>
    </dxf>
    <dxf>
      <alignment horizontal="center" vertical="center" wrapText="1"/>
    </dxf>
    <dxf>
      <alignment horizontal="center" vertical="center" wrapText="1"/>
    </dxf>
    <dxf>
      <font>
        <sz val="9"/>
      </font>
    </dxf>
    <dxf>
      <font>
        <sz val="9"/>
      </font>
    </dxf>
    <dxf>
      <border>
        <vertical style="thin">
          <color rgb="FFC00000"/>
        </vertical>
        <horizontal style="thin">
          <color rgb="FFC00000"/>
        </horizontal>
      </border>
    </dxf>
    <dxf>
      <font>
        <sz val="9"/>
      </font>
    </dxf>
    <dxf>
      <font>
        <sz val="9"/>
      </font>
    </dxf>
    <dxf>
      <border>
        <horizontal style="thin">
          <color theme="2"/>
        </horizontal>
      </border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wrapText="1"/>
    </dxf>
    <dxf>
      <font>
        <sz val="11"/>
      </font>
    </dxf>
    <dxf>
      <font>
        <sz val="1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/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fill>
        <patternFill patternType="solid">
          <fgColor theme="9" tint="0.79998168889431442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4" formatCode="#,##0.00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170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alignment horizontal="general" vertical="center" textRotation="0" wrapText="0" indent="0" justifyLastLine="0" shrinkToFit="0" readingOrder="0"/>
      <border diagonalUp="0" diagonalDown="0">
        <left/>
        <right style="thin">
          <color rgb="FFFF0000"/>
        </right>
        <top style="thin">
          <color rgb="FFFF0000"/>
        </top>
        <bottom style="thin">
          <color rgb="FFFF0000"/>
        </bottom>
        <vertical style="thin">
          <color rgb="FFFF0000"/>
        </vertical>
        <horizontal style="thin">
          <color rgb="FFFF0000"/>
        </horizontal>
      </border>
    </dxf>
    <dxf>
      <border>
        <top style="thin">
          <color rgb="FFFF0000"/>
        </top>
      </border>
    </dxf>
    <dxf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Sans Serif"/>
        <family val="2"/>
        <scheme val="minor"/>
      </font>
      <alignment horizontal="general" vertical="center" textRotation="0" wrapText="0" indent="0" justifyLastLine="0" shrinkToFit="0" readingOrder="0"/>
    </dxf>
    <dxf>
      <border>
        <bottom style="thin">
          <color rgb="FFFF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ahoma"/>
        <family val="2"/>
        <scheme val="none"/>
      </font>
      <numFmt numFmtId="168" formatCode="[$]dd/mm/yyyy;@" x16r2:formatCode16="[$-fr-BR,1]dd/mm/yyyy;@"/>
      <fill>
        <patternFill patternType="solid">
          <fgColor indexed="64"/>
          <bgColor rgb="FF9900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/>
        <bottom/>
        <vertical style="thin">
          <color rgb="FFFF0000"/>
        </vertical>
        <horizontal style="thin">
          <color rgb="FFFF0000"/>
        </horizontal>
      </border>
    </dxf>
    <dxf>
      <font>
        <color auto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 style="medium">
          <color theme="6" tint="0.39994506668294322"/>
        </horizontal>
      </border>
    </dxf>
    <dxf>
      <font>
        <color theme="1"/>
      </font>
      <fill>
        <patternFill patternType="solid">
          <fgColor theme="0" tint="-0.14993743705557422"/>
          <bgColor theme="0"/>
        </patternFill>
      </fill>
      <border diagonalUp="0" diagonalDown="0">
        <left/>
        <right/>
        <top/>
        <bottom/>
        <vertical/>
        <horizontal style="medium">
          <color theme="6" tint="0.39994506668294322"/>
        </horizontal>
      </border>
    </dxf>
    <dxf>
      <font>
        <b val="0"/>
        <i val="0"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 style="medium">
          <color theme="6" tint="0.39994506668294322"/>
        </horizontal>
      </border>
    </dxf>
    <dxf>
      <font>
        <color theme="0"/>
      </font>
      <fill>
        <patternFill>
          <fgColor theme="3"/>
          <bgColor theme="3"/>
        </patternFill>
      </fill>
      <border diagonalUp="0" diagonalDown="0">
        <left/>
        <right/>
        <top/>
        <bottom/>
        <vertical/>
        <horizontal style="medium">
          <color theme="6" tint="0.39994506668294322"/>
        </horizontal>
      </border>
    </dxf>
    <dxf>
      <font>
        <b/>
        <i val="0"/>
        <color theme="1"/>
      </font>
      <fill>
        <patternFill>
          <bgColor theme="6" tint="0.79998168889431442"/>
        </patternFill>
      </fill>
      <border diagonalUp="0" diagonalDown="0">
        <left/>
        <right/>
        <top style="medium">
          <color theme="6" tint="0.39994506668294322"/>
        </top>
        <bottom/>
        <vertical style="medium">
          <color theme="6" tint="0.39991454817346722"/>
        </vertical>
        <horizontal/>
      </border>
    </dxf>
    <dxf>
      <font>
        <color theme="6" tint="0.39994506668294322"/>
      </font>
      <fill>
        <patternFill>
          <bgColor theme="6" tint="0.39994506668294322"/>
        </patternFill>
      </fill>
      <border diagonalUp="0" diagonalDown="0">
        <left/>
        <right/>
        <top/>
        <bottom style="medium">
          <color theme="6" tint="0.39994506668294322"/>
        </bottom>
        <vertical/>
        <horizontal/>
      </border>
    </dxf>
    <dxf>
      <font>
        <b val="0"/>
        <i val="0"/>
        <color theme="1"/>
      </font>
      <fill>
        <patternFill>
          <bgColor theme="0"/>
        </patternFill>
      </fill>
      <border diagonalUp="0" diagonalDown="0">
        <left/>
        <right/>
        <top style="medium">
          <color theme="6" tint="0.39994506668294322"/>
        </top>
        <bottom style="medium">
          <color theme="6" tint="0.39994506668294322"/>
        </bottom>
        <vertical style="medium">
          <color theme="6" tint="0.39994506668294322"/>
        </vertical>
        <horizontal style="medium">
          <color theme="6" tint="0.39994506668294322"/>
        </horizontal>
      </border>
    </dxf>
  </dxfs>
  <tableStyles count="1" defaultPivotStyle="PivotStyleLight16">
    <tableStyle name="Estimations détaillées des dépenses Table 2" pivot="0" count="7" xr9:uid="{00000000-0011-0000-FFFF-FFFF00000000}">
      <tableStyleElement type="wholeTable" dxfId="165"/>
      <tableStyleElement type="headerRow" dxfId="164"/>
      <tableStyleElement type="totalRow" dxfId="163"/>
      <tableStyleElement type="firstColumn" dxfId="162"/>
      <tableStyleElement type="lastColumn" dxfId="161"/>
      <tableStyleElement type="firstRowStripe" size="9" dxfId="160"/>
      <tableStyleElement type="firstColumnStripe" dxfId="159"/>
    </tableStyle>
  </tableStyles>
  <colors>
    <mruColors>
      <color rgb="FFFFD579"/>
      <color rgb="FFFF9300"/>
      <color rgb="FFFFCC99"/>
      <color rgb="FF99CCFF"/>
      <color rgb="FF9999FF"/>
      <color rgb="FF800080"/>
      <color rgb="FF3B8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448410511121965E-2"/>
          <c:y val="1.2482200578545082E-2"/>
          <c:w val="0.92150045928143709"/>
          <c:h val="0.95854041992088446"/>
        </c:manualLayout>
      </c:layout>
      <c:barChart>
        <c:barDir val="bar"/>
        <c:grouping val="clustered"/>
        <c:varyColors val="0"/>
        <c:ser>
          <c:idx val="0"/>
          <c:order val="0"/>
          <c:tx>
            <c:v>RENTABILIDADE ANUAL MEDIA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'HORA VERDADE'!$A$2:$A$46</c:f>
              <c:strCache>
                <c:ptCount val="45"/>
                <c:pt idx="0">
                  <c:v>VIIA3</c:v>
                </c:pt>
                <c:pt idx="1">
                  <c:v>G2DI33 - G2D INVEST DR3</c:v>
                </c:pt>
                <c:pt idx="2">
                  <c:v>LIGHT - LIGHD2 (IPCA + 4,75%)</c:v>
                </c:pt>
                <c:pt idx="3">
                  <c:v>LIGHT - LIGHA5 (IPCA + 3,80%)</c:v>
                </c:pt>
                <c:pt idx="4">
                  <c:v>LIGHT - LIGHA5 (IPCA + 4,05%)</c:v>
                </c:pt>
                <c:pt idx="5">
                  <c:v>02-03-23 / BTG CDB PLUS FI</c:v>
                </c:pt>
                <c:pt idx="6">
                  <c:v>CESTA DE ACOES / 10SIM</c:v>
                </c:pt>
                <c:pt idx="7">
                  <c:v>01-SET-20 / BTG (BT5620I36B4) </c:v>
                </c:pt>
                <c:pt idx="8">
                  <c:v>30-03-22 / BNP PARIBAS (PB0122C4OWI)</c:v>
                </c:pt>
                <c:pt idx="9">
                  <c:v>29-10-21 / CREDIT SUISSE (B80121J42LX) </c:v>
                </c:pt>
                <c:pt idx="10">
                  <c:v>16-SET-20 / BTG (BT1120I36XY) </c:v>
                </c:pt>
                <c:pt idx="11">
                  <c:v>22-11-22 / RIZA LOTUS FI</c:v>
                </c:pt>
                <c:pt idx="12">
                  <c:v>28-06-21 / BTG (BT0821F3NXE) </c:v>
                </c:pt>
                <c:pt idx="13">
                  <c:v>16-11-21 / BTG (BT1821K44DS) </c:v>
                </c:pt>
                <c:pt idx="14">
                  <c:v>24-10-22 / SUL AMERICA EXCELLENCE FIRP</c:v>
                </c:pt>
                <c:pt idx="15">
                  <c:v>24-06-20 / CREDIT SUISSE (B80120F3487)</c:v>
                </c:pt>
                <c:pt idx="16">
                  <c:v>02-06-22 / VAMOS ECO SECURITIZADORA (CRA022004MS)</c:v>
                </c:pt>
                <c:pt idx="17">
                  <c:v>05-10-23 / BTG (LCA-23J01085256)</c:v>
                </c:pt>
                <c:pt idx="18">
                  <c:v>31-03-22 / GLD UP (BT0122C4PC1)</c:v>
                </c:pt>
                <c:pt idx="19">
                  <c:v>30-07-21 / BTG (BT0221G3QRZ)</c:v>
                </c:pt>
                <c:pt idx="20">
                  <c:v>20-JUL-20 / BTG (BT0520G34Q7)</c:v>
                </c:pt>
                <c:pt idx="21">
                  <c:v>RUMO S.A. - RUMOA5</c:v>
                </c:pt>
                <c:pt idx="22">
                  <c:v>30-03-22 / ACCESS KAPITALO K10</c:v>
                </c:pt>
                <c:pt idx="23">
                  <c:v>25-05-22 / LEGACY CAPITAL FIC</c:v>
                </c:pt>
                <c:pt idx="24">
                  <c:v>01-11-22 / COOPERATIVA (LCA-22K00018947)</c:v>
                </c:pt>
                <c:pt idx="25">
                  <c:v>16-03-22 / BTG 100% IPCA (CDB122IX1C1)</c:v>
                </c:pt>
                <c:pt idx="26">
                  <c:v>BDIF11 - FIC INFR BTGCI ER</c:v>
                </c:pt>
                <c:pt idx="27">
                  <c:v>02-03-22 / BTG (LCA-22C00023609)</c:v>
                </c:pt>
                <c:pt idx="28">
                  <c:v>30-03-23 / BTG (LCA-23C02705202)</c:v>
                </c:pt>
                <c:pt idx="29">
                  <c:v>30-03-23 / BANCO VOTORANTIM (LCA-23C02714265)</c:v>
                </c:pt>
                <c:pt idx="30">
                  <c:v>02-03-23 / BANCO VOITER (LCA-23C00117173)</c:v>
                </c:pt>
                <c:pt idx="31">
                  <c:v>30-03-22 / BANCO BOCOM (LCA-22C01154911)</c:v>
                </c:pt>
                <c:pt idx="32">
                  <c:v>23-03-22 / BANCO ORIGINAL (CDB122KMV8Z) </c:v>
                </c:pt>
                <c:pt idx="33">
                  <c:v>21-03-22 / BANCO MASTER (CDB122JY2EY)</c:v>
                </c:pt>
                <c:pt idx="34">
                  <c:v>30-03-21 / TEREOS ACUCAR E ENERGIA (CRA021000MF)</c:v>
                </c:pt>
                <c:pt idx="35">
                  <c:v>21-02-22 / BTG (LCA-22B00556338)</c:v>
                </c:pt>
                <c:pt idx="36">
                  <c:v>21-03-22 / BANCO OURINVEST (CDB122JY1V1) </c:v>
                </c:pt>
                <c:pt idx="37">
                  <c:v>13-05-22 / BANCO ORIGINAL (LCI-22E00745661)</c:v>
                </c:pt>
                <c:pt idx="38">
                  <c:v>22-11-22 / COOPERATIVA (LCA-22K01262726)</c:v>
                </c:pt>
                <c:pt idx="39">
                  <c:v>10-09-21 / BANCO ORIGINAL (CDB321IZUFY)</c:v>
                </c:pt>
                <c:pt idx="40">
                  <c:v>05-05-22 / BANCO FIDIS (LCI-22E00495817)</c:v>
                </c:pt>
                <c:pt idx="41">
                  <c:v>30-03-23 / BANCO DIGIMAIS (CDB123TMUHH)</c:v>
                </c:pt>
                <c:pt idx="42">
                  <c:v>28-04-22 / GOLDMAN SACHS (GS0122D4WV8)</c:v>
                </c:pt>
                <c:pt idx="43">
                  <c:v>14-04-22 / BANCO MASTER (CDB2224QT2I)</c:v>
                </c:pt>
                <c:pt idx="44">
                  <c:v>30-03-22 / BANCO MASTER (CDB122M9N36) </c:v>
                </c:pt>
              </c:strCache>
            </c:strRef>
          </c:cat>
          <c:val>
            <c:numRef>
              <c:f>'HORA VERDADE'!$C$2:$C$46</c:f>
              <c:numCache>
                <c:formatCode>0.00%</c:formatCode>
                <c:ptCount val="45"/>
                <c:pt idx="0">
                  <c:v>-0.39059538170059643</c:v>
                </c:pt>
                <c:pt idx="1">
                  <c:v>-0.26481219662972799</c:v>
                </c:pt>
                <c:pt idx="2">
                  <c:v>-0.16326635593220337</c:v>
                </c:pt>
                <c:pt idx="3">
                  <c:v>-0.11673326996881445</c:v>
                </c:pt>
                <c:pt idx="4">
                  <c:v>-0.10815370312793204</c:v>
                </c:pt>
                <c:pt idx="5">
                  <c:v>-8.121058126959152E-2</c:v>
                </c:pt>
                <c:pt idx="6">
                  <c:v>-5.072531391093206E-2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5.8373832625428735E-3</c:v>
                </c:pt>
                <c:pt idx="12">
                  <c:v>6.318237558181148E-3</c:v>
                </c:pt>
                <c:pt idx="13">
                  <c:v>9.9025284450063381E-3</c:v>
                </c:pt>
                <c:pt idx="14">
                  <c:v>1.1508553809129482E-2</c:v>
                </c:pt>
                <c:pt idx="15">
                  <c:v>1.6783585602251423E-2</c:v>
                </c:pt>
                <c:pt idx="16">
                  <c:v>2.7985905567300962E-2</c:v>
                </c:pt>
                <c:pt idx="17">
                  <c:v>3.6644539999999969E-2</c:v>
                </c:pt>
                <c:pt idx="18">
                  <c:v>3.6965899136528563E-2</c:v>
                </c:pt>
                <c:pt idx="19">
                  <c:v>3.9333553191088992E-2</c:v>
                </c:pt>
                <c:pt idx="20">
                  <c:v>5.0155333951762533E-2</c:v>
                </c:pt>
                <c:pt idx="21">
                  <c:v>5.2100539881574363E-2</c:v>
                </c:pt>
                <c:pt idx="22">
                  <c:v>5.6800316879951261E-2</c:v>
                </c:pt>
                <c:pt idx="23">
                  <c:v>5.9535434131736627E-2</c:v>
                </c:pt>
                <c:pt idx="24">
                  <c:v>7.8355653950953716E-2</c:v>
                </c:pt>
                <c:pt idx="25">
                  <c:v>7.8763304320089045E-2</c:v>
                </c:pt>
                <c:pt idx="26">
                  <c:v>9.1033588956766304E-2</c:v>
                </c:pt>
                <c:pt idx="27">
                  <c:v>0.10068941176470594</c:v>
                </c:pt>
                <c:pt idx="28">
                  <c:v>0.10568276059564716</c:v>
                </c:pt>
                <c:pt idx="29">
                  <c:v>0.1067893279877816</c:v>
                </c:pt>
                <c:pt idx="30">
                  <c:v>0.10729771634615382</c:v>
                </c:pt>
                <c:pt idx="31">
                  <c:v>0.11260000000000001</c:v>
                </c:pt>
                <c:pt idx="32">
                  <c:v>0.11328860789637551</c:v>
                </c:pt>
                <c:pt idx="33">
                  <c:v>0.11433556390977445</c:v>
                </c:pt>
                <c:pt idx="34">
                  <c:v>0.11668631733594516</c:v>
                </c:pt>
                <c:pt idx="35">
                  <c:v>0.12197564032697553</c:v>
                </c:pt>
                <c:pt idx="36">
                  <c:v>0.12214615652865102</c:v>
                </c:pt>
                <c:pt idx="37">
                  <c:v>0.12667885620915037</c:v>
                </c:pt>
                <c:pt idx="38">
                  <c:v>0.12775871121718382</c:v>
                </c:pt>
                <c:pt idx="39">
                  <c:v>0.13036505250875144</c:v>
                </c:pt>
                <c:pt idx="40">
                  <c:v>0.1312040000000001</c:v>
                </c:pt>
                <c:pt idx="41">
                  <c:v>0.13989074455899186</c:v>
                </c:pt>
                <c:pt idx="42">
                  <c:v>0.14377972886762364</c:v>
                </c:pt>
                <c:pt idx="43">
                  <c:v>0.1442591192738619</c:v>
                </c:pt>
                <c:pt idx="44">
                  <c:v>0.15016279251812795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4B-4CB5-89A3-DFCFB533BA98}"/>
            </c:ext>
          </c:extLst>
        </c:ser>
        <c:ser>
          <c:idx val="1"/>
          <c:order val="1"/>
          <c:tx>
            <c:v>REPRESENTATIVIDADE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'HORA VERDADE'!$A$2:$A$46</c:f>
              <c:strCache>
                <c:ptCount val="45"/>
                <c:pt idx="0">
                  <c:v>VIIA3</c:v>
                </c:pt>
                <c:pt idx="1">
                  <c:v>G2DI33 - G2D INVEST DR3</c:v>
                </c:pt>
                <c:pt idx="2">
                  <c:v>LIGHT - LIGHD2 (IPCA + 4,75%)</c:v>
                </c:pt>
                <c:pt idx="3">
                  <c:v>LIGHT - LIGHA5 (IPCA + 3,80%)</c:v>
                </c:pt>
                <c:pt idx="4">
                  <c:v>LIGHT - LIGHA5 (IPCA + 4,05%)</c:v>
                </c:pt>
                <c:pt idx="5">
                  <c:v>02-03-23 / BTG CDB PLUS FI</c:v>
                </c:pt>
                <c:pt idx="6">
                  <c:v>CESTA DE ACOES / 10SIM</c:v>
                </c:pt>
                <c:pt idx="7">
                  <c:v>01-SET-20 / BTG (BT5620I36B4) </c:v>
                </c:pt>
                <c:pt idx="8">
                  <c:v>30-03-22 / BNP PARIBAS (PB0122C4OWI)</c:v>
                </c:pt>
                <c:pt idx="9">
                  <c:v>29-10-21 / CREDIT SUISSE (B80121J42LX) </c:v>
                </c:pt>
                <c:pt idx="10">
                  <c:v>16-SET-20 / BTG (BT1120I36XY) </c:v>
                </c:pt>
                <c:pt idx="11">
                  <c:v>22-11-22 / RIZA LOTUS FI</c:v>
                </c:pt>
                <c:pt idx="12">
                  <c:v>28-06-21 / BTG (BT0821F3NXE) </c:v>
                </c:pt>
                <c:pt idx="13">
                  <c:v>16-11-21 / BTG (BT1821K44DS) </c:v>
                </c:pt>
                <c:pt idx="14">
                  <c:v>24-10-22 / SUL AMERICA EXCELLENCE FIRP</c:v>
                </c:pt>
                <c:pt idx="15">
                  <c:v>24-06-20 / CREDIT SUISSE (B80120F3487)</c:v>
                </c:pt>
                <c:pt idx="16">
                  <c:v>02-06-22 / VAMOS ECO SECURITIZADORA (CRA022004MS)</c:v>
                </c:pt>
                <c:pt idx="17">
                  <c:v>05-10-23 / BTG (LCA-23J01085256)</c:v>
                </c:pt>
                <c:pt idx="18">
                  <c:v>31-03-22 / GLD UP (BT0122C4PC1)</c:v>
                </c:pt>
                <c:pt idx="19">
                  <c:v>30-07-21 / BTG (BT0221G3QRZ)</c:v>
                </c:pt>
                <c:pt idx="20">
                  <c:v>20-JUL-20 / BTG (BT0520G34Q7)</c:v>
                </c:pt>
                <c:pt idx="21">
                  <c:v>RUMO S.A. - RUMOA5</c:v>
                </c:pt>
                <c:pt idx="22">
                  <c:v>30-03-22 / ACCESS KAPITALO K10</c:v>
                </c:pt>
                <c:pt idx="23">
                  <c:v>25-05-22 / LEGACY CAPITAL FIC</c:v>
                </c:pt>
                <c:pt idx="24">
                  <c:v>01-11-22 / COOPERATIVA (LCA-22K00018947)</c:v>
                </c:pt>
                <c:pt idx="25">
                  <c:v>16-03-22 / BTG 100% IPCA (CDB122IX1C1)</c:v>
                </c:pt>
                <c:pt idx="26">
                  <c:v>BDIF11 - FIC INFR BTGCI ER</c:v>
                </c:pt>
                <c:pt idx="27">
                  <c:v>02-03-22 / BTG (LCA-22C00023609)</c:v>
                </c:pt>
                <c:pt idx="28">
                  <c:v>30-03-23 / BTG (LCA-23C02705202)</c:v>
                </c:pt>
                <c:pt idx="29">
                  <c:v>30-03-23 / BANCO VOTORANTIM (LCA-23C02714265)</c:v>
                </c:pt>
                <c:pt idx="30">
                  <c:v>02-03-23 / BANCO VOITER (LCA-23C00117173)</c:v>
                </c:pt>
                <c:pt idx="31">
                  <c:v>30-03-22 / BANCO BOCOM (LCA-22C01154911)</c:v>
                </c:pt>
                <c:pt idx="32">
                  <c:v>23-03-22 / BANCO ORIGINAL (CDB122KMV8Z) </c:v>
                </c:pt>
                <c:pt idx="33">
                  <c:v>21-03-22 / BANCO MASTER (CDB122JY2EY)</c:v>
                </c:pt>
                <c:pt idx="34">
                  <c:v>30-03-21 / TEREOS ACUCAR E ENERGIA (CRA021000MF)</c:v>
                </c:pt>
                <c:pt idx="35">
                  <c:v>21-02-22 / BTG (LCA-22B00556338)</c:v>
                </c:pt>
                <c:pt idx="36">
                  <c:v>21-03-22 / BANCO OURINVEST (CDB122JY1V1) </c:v>
                </c:pt>
                <c:pt idx="37">
                  <c:v>13-05-22 / BANCO ORIGINAL (LCI-22E00745661)</c:v>
                </c:pt>
                <c:pt idx="38">
                  <c:v>22-11-22 / COOPERATIVA (LCA-22K01262726)</c:v>
                </c:pt>
                <c:pt idx="39">
                  <c:v>10-09-21 / BANCO ORIGINAL (CDB321IZUFY)</c:v>
                </c:pt>
                <c:pt idx="40">
                  <c:v>05-05-22 / BANCO FIDIS (LCI-22E00495817)</c:v>
                </c:pt>
                <c:pt idx="41">
                  <c:v>30-03-23 / BANCO DIGIMAIS (CDB123TMUHH)</c:v>
                </c:pt>
                <c:pt idx="42">
                  <c:v>28-04-22 / GOLDMAN SACHS (GS0122D4WV8)</c:v>
                </c:pt>
                <c:pt idx="43">
                  <c:v>14-04-22 / BANCO MASTER (CDB2224QT2I)</c:v>
                </c:pt>
                <c:pt idx="44">
                  <c:v>30-03-22 / BANCO MASTER (CDB122M9N36) </c:v>
                </c:pt>
              </c:strCache>
            </c:strRef>
          </c:cat>
          <c:val>
            <c:numRef>
              <c:f>'HORA VERDADE'!$E$2:$E$46</c:f>
              <c:numCache>
                <c:formatCode>0.0%</c:formatCode>
                <c:ptCount val="45"/>
                <c:pt idx="0">
                  <c:v>2.8249212957508964E-2</c:v>
                </c:pt>
                <c:pt idx="1">
                  <c:v>9.8672789631266238E-3</c:v>
                </c:pt>
                <c:pt idx="2">
                  <c:v>1.1503082598525716E-2</c:v>
                </c:pt>
                <c:pt idx="3">
                  <c:v>1.2256968910247149E-2</c:v>
                </c:pt>
                <c:pt idx="4">
                  <c:v>2.2487348170013525E-2</c:v>
                </c:pt>
                <c:pt idx="5">
                  <c:v>0.12718564669615035</c:v>
                </c:pt>
                <c:pt idx="6">
                  <c:v>4.2915506200390759E-2</c:v>
                </c:pt>
                <c:pt idx="7">
                  <c:v>7.4092020808003117E-2</c:v>
                </c:pt>
                <c:pt idx="8">
                  <c:v>2.2227606242400937E-2</c:v>
                </c:pt>
                <c:pt idx="9">
                  <c:v>4.9394680538668745E-2</c:v>
                </c:pt>
                <c:pt idx="10">
                  <c:v>7.4092020808003117E-2</c:v>
                </c:pt>
                <c:pt idx="11">
                  <c:v>0</c:v>
                </c:pt>
                <c:pt idx="12">
                  <c:v>2.9636808323201248E-2</c:v>
                </c:pt>
                <c:pt idx="13">
                  <c:v>1.7288138188534061E-2</c:v>
                </c:pt>
                <c:pt idx="14">
                  <c:v>4.3794064685791787E-3</c:v>
                </c:pt>
                <c:pt idx="15">
                  <c:v>0</c:v>
                </c:pt>
                <c:pt idx="16">
                  <c:v>0</c:v>
                </c:pt>
                <c:pt idx="17">
                  <c:v>2.4697340269334372E-2</c:v>
                </c:pt>
                <c:pt idx="18">
                  <c:v>1.5065377564293967E-2</c:v>
                </c:pt>
                <c:pt idx="19">
                  <c:v>0</c:v>
                </c:pt>
                <c:pt idx="20">
                  <c:v>2.7167074296267812E-2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2.4697340269334372E-2</c:v>
                </c:pt>
                <c:pt idx="25">
                  <c:v>0</c:v>
                </c:pt>
                <c:pt idx="26">
                  <c:v>9.4355200605381207E-3</c:v>
                </c:pt>
                <c:pt idx="27">
                  <c:v>0</c:v>
                </c:pt>
                <c:pt idx="28">
                  <c:v>3.4214361552761294E-2</c:v>
                </c:pt>
                <c:pt idx="29">
                  <c:v>4.4455212484801873E-2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2.4697340269334372E-2</c:v>
                </c:pt>
                <c:pt idx="34">
                  <c:v>1.0672634531969347E-2</c:v>
                </c:pt>
                <c:pt idx="35">
                  <c:v>0</c:v>
                </c:pt>
                <c:pt idx="36">
                  <c:v>0</c:v>
                </c:pt>
                <c:pt idx="37">
                  <c:v>2.4697340269334372E-2</c:v>
                </c:pt>
                <c:pt idx="38">
                  <c:v>1.9757872215467497E-2</c:v>
                </c:pt>
                <c:pt idx="39">
                  <c:v>1.4818404161600624E-2</c:v>
                </c:pt>
                <c:pt idx="40">
                  <c:v>0</c:v>
                </c:pt>
                <c:pt idx="41">
                  <c:v>3.7046010404001559E-2</c:v>
                </c:pt>
                <c:pt idx="42">
                  <c:v>2.4697340269334372E-2</c:v>
                </c:pt>
                <c:pt idx="43">
                  <c:v>2.7167074296267812E-2</c:v>
                </c:pt>
                <c:pt idx="44">
                  <c:v>9.1380158996537175E-2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DD-4550-9A66-96BB6E87D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012464"/>
        <c:axId val="349743216"/>
      </c:barChart>
      <c:catAx>
        <c:axId val="548012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9743216"/>
        <c:crosses val="autoZero"/>
        <c:auto val="1"/>
        <c:lblAlgn val="ctr"/>
        <c:lblOffset val="100"/>
        <c:noMultiLvlLbl val="0"/>
      </c:catAx>
      <c:valAx>
        <c:axId val="349743216"/>
        <c:scaling>
          <c:orientation val="minMax"/>
          <c:max val="0.2"/>
          <c:min val="-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in"/>
        <c:minorTickMark val="in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8012464"/>
        <c:crosses val="autoZero"/>
        <c:crossBetween val="between"/>
        <c:majorUnit val="5.000000000000001E-2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657225</xdr:colOff>
          <xdr:row>42</xdr:row>
          <xdr:rowOff>314325</xdr:rowOff>
        </xdr:from>
        <xdr:to>
          <xdr:col>9</xdr:col>
          <xdr:colOff>523875</xdr:colOff>
          <xdr:row>44</xdr:row>
          <xdr:rowOff>304800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404040"/>
                  </a:solidFill>
                  <a:latin typeface="Microsoft Sans Serif"/>
                  <a:ea typeface="Microsoft Sans Serif"/>
                  <a:cs typeface="Microsoft Sans Serif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282772</xdr:colOff>
      <xdr:row>3</xdr:row>
      <xdr:rowOff>60125</xdr:rowOff>
    </xdr:from>
    <xdr:to>
      <xdr:col>14</xdr:col>
      <xdr:colOff>142875</xdr:colOff>
      <xdr:row>71</xdr:row>
      <xdr:rowOff>87313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0148577c57a3cfa/FINANCE/Financas%20CONTABILIDADE/INVESTIMENTOS%20BTG%202020.xlsm" TargetMode="External"/><Relationship Id="rId1" Type="http://schemas.openxmlformats.org/officeDocument/2006/relationships/externalLinkPath" Target="INVESTIMENTOS%20BTG%20202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0148577c57a3cfa/FINANCE/Financas%20CONTABILIDADE/INVESTIMENTOS%20BTG%202022.xlsm" TargetMode="External"/><Relationship Id="rId1" Type="http://schemas.openxmlformats.org/officeDocument/2006/relationships/externalLinkPath" Target="INVESTIMENTOS%20BTG%202022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30148577c57a3cfa/FINANCE/Financas%20CONTABILIDADE/INVESTIMENTOS%20BTG%202021.xlsm" TargetMode="External"/><Relationship Id="rId1" Type="http://schemas.openxmlformats.org/officeDocument/2006/relationships/externalLinkPath" Target="INVESTIMENTOS%20BTG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ORES MENSAIS"/>
      <sheetName val="MOVIMENTACOES MENSAIS"/>
      <sheetName val="VARIACAO PATRIMONIAL"/>
      <sheetName val="HISTORICO "/>
      <sheetName val="HISTORICO APLICACOES"/>
      <sheetName val="DADOS FORMULARIO"/>
      <sheetName val="DISTRIBUICAO_MODALIDADES"/>
      <sheetName val="DISTRIBUICAO_MERCADOS"/>
      <sheetName val="VENCIMENTOS"/>
      <sheetName val="NOTAS CORRETAGEM"/>
      <sheetName val="MOVIMENTACAO_ACOES"/>
    </sheetNames>
    <sheetDataSet>
      <sheetData sheetId="0"/>
      <sheetData sheetId="1">
        <row r="25">
          <cell r="AJ25">
            <v>-629.57999999999811</v>
          </cell>
        </row>
        <row r="30">
          <cell r="B30">
            <v>44196</v>
          </cell>
        </row>
      </sheetData>
      <sheetData sheetId="2">
        <row r="14">
          <cell r="E14">
            <v>5937.5100000000384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ORES MENSAIS"/>
      <sheetName val="MOVIMENTACOES MENSAIS"/>
      <sheetName val="VARIACAO PATRIMONIAL"/>
      <sheetName val="HISTORICO "/>
      <sheetName val="HISTORICO APLICACOES"/>
      <sheetName val="DADOS FORMULARIO"/>
      <sheetName val="DISTRIBUICAO_MERCADOS"/>
      <sheetName val="DISTRIBUICAO_MODALIDADES"/>
      <sheetName val="Feuil1"/>
      <sheetName val="VENCIMENTOS"/>
      <sheetName val="NOTAS CORRETAGEM"/>
      <sheetName val="MOVIMENTACAO_ACOES"/>
    </sheetNames>
    <sheetDataSet>
      <sheetData sheetId="0"/>
      <sheetData sheetId="1">
        <row r="20">
          <cell r="AH20">
            <v>10000</v>
          </cell>
          <cell r="AI20">
            <v>0</v>
          </cell>
        </row>
        <row r="25">
          <cell r="AH25">
            <v>30580.09</v>
          </cell>
          <cell r="AI25">
            <v>0</v>
          </cell>
        </row>
        <row r="26">
          <cell r="AH26">
            <v>10000</v>
          </cell>
          <cell r="AI26">
            <v>0</v>
          </cell>
        </row>
        <row r="27">
          <cell r="AH27">
            <v>10000</v>
          </cell>
          <cell r="AI27">
            <v>0</v>
          </cell>
        </row>
        <row r="29">
          <cell r="AH29">
            <v>10000</v>
          </cell>
        </row>
        <row r="31">
          <cell r="AH31">
            <v>11000</v>
          </cell>
          <cell r="AI31">
            <v>0</v>
          </cell>
        </row>
        <row r="33">
          <cell r="AH33">
            <v>10000</v>
          </cell>
          <cell r="AI33">
            <v>0</v>
          </cell>
        </row>
        <row r="34">
          <cell r="AH34">
            <v>30000</v>
          </cell>
          <cell r="AI34">
            <v>0</v>
          </cell>
        </row>
        <row r="35">
          <cell r="AH35">
            <v>30000</v>
          </cell>
          <cell r="AI35">
            <v>0</v>
          </cell>
        </row>
        <row r="36">
          <cell r="AH36">
            <v>11000</v>
          </cell>
          <cell r="AI36">
            <v>0</v>
          </cell>
        </row>
        <row r="37">
          <cell r="AH37">
            <v>8000</v>
          </cell>
        </row>
        <row r="40">
          <cell r="AH40">
            <v>6000</v>
          </cell>
          <cell r="AI40">
            <v>0</v>
          </cell>
        </row>
        <row r="41">
          <cell r="AH41">
            <v>10000</v>
          </cell>
        </row>
        <row r="43">
          <cell r="AH43">
            <v>8000</v>
          </cell>
          <cell r="AI43">
            <v>0</v>
          </cell>
        </row>
        <row r="51">
          <cell r="AH51">
            <v>37000</v>
          </cell>
          <cell r="AI51">
            <v>0</v>
          </cell>
        </row>
        <row r="53">
          <cell r="AH53">
            <v>10000</v>
          </cell>
          <cell r="AI53">
            <v>0</v>
          </cell>
        </row>
        <row r="55">
          <cell r="AH55">
            <v>3995.28</v>
          </cell>
          <cell r="AI55">
            <v>0</v>
          </cell>
        </row>
        <row r="61">
          <cell r="AH61">
            <v>10371.83</v>
          </cell>
          <cell r="AI61">
            <v>-10268.91</v>
          </cell>
        </row>
        <row r="63">
          <cell r="AH63">
            <v>15000</v>
          </cell>
          <cell r="AI63">
            <v>0</v>
          </cell>
        </row>
      </sheetData>
      <sheetData sheetId="2">
        <row r="28">
          <cell r="C28">
            <v>20721.25</v>
          </cell>
          <cell r="D28">
            <v>-11450.720000000001</v>
          </cell>
        </row>
        <row r="29">
          <cell r="C29">
            <v>10433.970000000001</v>
          </cell>
          <cell r="D29">
            <v>-304.95</v>
          </cell>
        </row>
        <row r="30">
          <cell r="C30">
            <v>240813.59999999998</v>
          </cell>
          <cell r="D30">
            <v>-115170.69</v>
          </cell>
        </row>
        <row r="31">
          <cell r="C31">
            <v>21669.78</v>
          </cell>
          <cell r="D31">
            <v>-12396.970000000001</v>
          </cell>
        </row>
        <row r="32">
          <cell r="C32">
            <v>62816.15</v>
          </cell>
          <cell r="D32">
            <v>-68370.310000000012</v>
          </cell>
        </row>
        <row r="33">
          <cell r="C33">
            <v>6000</v>
          </cell>
          <cell r="D33">
            <v>-379.51</v>
          </cell>
        </row>
        <row r="34">
          <cell r="C34">
            <v>17.3</v>
          </cell>
          <cell r="D34">
            <v>-12777.01</v>
          </cell>
        </row>
        <row r="35">
          <cell r="C35">
            <v>0.83000000000000007</v>
          </cell>
          <cell r="D35">
            <v>-27045.13</v>
          </cell>
        </row>
        <row r="36">
          <cell r="C36">
            <v>1.94</v>
          </cell>
          <cell r="D36">
            <v>-25495.279999999999</v>
          </cell>
        </row>
        <row r="37">
          <cell r="C37">
            <v>9953.2000000000007</v>
          </cell>
          <cell r="D37">
            <v>-21011.030000000002</v>
          </cell>
        </row>
        <row r="38">
          <cell r="C38">
            <v>36737.93</v>
          </cell>
          <cell r="D38">
            <v>-18255.830000000002</v>
          </cell>
        </row>
        <row r="39">
          <cell r="C39">
            <v>9636.1299999999992</v>
          </cell>
          <cell r="D39">
            <v>-12910.45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ALORES MENSAIS"/>
      <sheetName val="MOVIMENTACOES MENSAIS"/>
      <sheetName val="VARIACAO PATRIMONIAL"/>
      <sheetName val="HISTORICO "/>
      <sheetName val="HISTORICO APLICACOES"/>
      <sheetName val="DADOS FORMULARIO"/>
      <sheetName val="DISTRIBUICAO_MODALIDADES"/>
      <sheetName val="DISTRIBUICAO_MERCADOS"/>
      <sheetName val="VENCIMENTOS"/>
      <sheetName val="NOTAS CORRETAGEM"/>
      <sheetName val="MOVIMENTACAO_ACOES"/>
    </sheetNames>
    <sheetDataSet>
      <sheetData sheetId="0"/>
      <sheetData sheetId="1">
        <row r="36">
          <cell r="AJ36">
            <v>8345.0400000000009</v>
          </cell>
        </row>
      </sheetData>
      <sheetData sheetId="2">
        <row r="2">
          <cell r="A2" t="str">
            <v>JANEIRO 2020</v>
          </cell>
          <cell r="C2">
            <v>0</v>
          </cell>
          <cell r="D2">
            <v>0</v>
          </cell>
          <cell r="E2">
            <v>0</v>
          </cell>
        </row>
        <row r="3">
          <cell r="A3" t="str">
            <v>FEVEREIRO 2020</v>
          </cell>
          <cell r="C3">
            <v>0</v>
          </cell>
          <cell r="D3">
            <v>0</v>
          </cell>
          <cell r="E3">
            <v>0</v>
          </cell>
        </row>
        <row r="4">
          <cell r="A4" t="str">
            <v>MARÇO 2020</v>
          </cell>
          <cell r="C4">
            <v>0</v>
          </cell>
          <cell r="D4">
            <v>0</v>
          </cell>
          <cell r="E4">
            <v>0</v>
          </cell>
        </row>
        <row r="5">
          <cell r="A5" t="str">
            <v>ABRIL 2020</v>
          </cell>
          <cell r="C5">
            <v>0</v>
          </cell>
          <cell r="D5">
            <v>0</v>
          </cell>
          <cell r="E5">
            <v>0</v>
          </cell>
        </row>
        <row r="6">
          <cell r="A6" t="str">
            <v>MAIO 2020</v>
          </cell>
          <cell r="C6">
            <v>174000</v>
          </cell>
          <cell r="D6">
            <v>0</v>
          </cell>
          <cell r="E6">
            <v>89.649999999994179</v>
          </cell>
        </row>
        <row r="7">
          <cell r="A7" t="str">
            <v>JUNHO 2020</v>
          </cell>
          <cell r="C7">
            <v>38597.39</v>
          </cell>
          <cell r="D7">
            <v>0</v>
          </cell>
          <cell r="E7">
            <v>1291.2299999999959</v>
          </cell>
        </row>
        <row r="8">
          <cell r="A8" t="str">
            <v>JULHO 2020</v>
          </cell>
          <cell r="C8">
            <v>32000</v>
          </cell>
          <cell r="D8">
            <v>-21000</v>
          </cell>
          <cell r="E8">
            <v>832.97000000000116</v>
          </cell>
        </row>
        <row r="9">
          <cell r="A9" t="str">
            <v>AGOSTO 2020</v>
          </cell>
          <cell r="C9">
            <v>50120.270000000004</v>
          </cell>
          <cell r="D9">
            <v>-78120.27</v>
          </cell>
          <cell r="E9">
            <v>1471.8600000000151</v>
          </cell>
        </row>
        <row r="10">
          <cell r="A10" t="str">
            <v>SETEMBRO 2020</v>
          </cell>
          <cell r="C10">
            <v>63000</v>
          </cell>
          <cell r="D10">
            <v>-30000</v>
          </cell>
          <cell r="E10">
            <v>-435.30999999999767</v>
          </cell>
        </row>
        <row r="11">
          <cell r="A11" t="str">
            <v>OUTUBRO 2020</v>
          </cell>
          <cell r="C11">
            <v>20723.02</v>
          </cell>
          <cell r="D11">
            <v>-19223.02</v>
          </cell>
          <cell r="E11">
            <v>547.68999999997322</v>
          </cell>
        </row>
        <row r="12">
          <cell r="A12" t="str">
            <v>NOVEMBRO 2020</v>
          </cell>
          <cell r="C12">
            <v>49265.31</v>
          </cell>
          <cell r="D12">
            <v>-30265.300000000003</v>
          </cell>
          <cell r="E12">
            <v>872.82000000002154</v>
          </cell>
        </row>
        <row r="13">
          <cell r="A13" t="str">
            <v>DEZEMBRO 2020</v>
          </cell>
          <cell r="C13">
            <v>12500</v>
          </cell>
          <cell r="D13">
            <v>0</v>
          </cell>
          <cell r="E13">
            <v>1266.6000000000349</v>
          </cell>
        </row>
        <row r="14">
          <cell r="A14" t="str">
            <v>TOTAL 2020</v>
          </cell>
        </row>
        <row r="15">
          <cell r="A15" t="str">
            <v>JANEIRO 2021</v>
          </cell>
          <cell r="C15">
            <v>4100.99</v>
          </cell>
          <cell r="D15">
            <v>0</v>
          </cell>
          <cell r="E15">
            <v>27.939999999935026</v>
          </cell>
        </row>
        <row r="16">
          <cell r="A16" t="str">
            <v>FEVEREIRO 2021</v>
          </cell>
          <cell r="C16">
            <v>9000</v>
          </cell>
          <cell r="D16">
            <v>0</v>
          </cell>
          <cell r="E16">
            <v>2237.6499999999651</v>
          </cell>
        </row>
        <row r="17">
          <cell r="A17" t="str">
            <v>MARÇO 2021</v>
          </cell>
          <cell r="C17">
            <v>5000</v>
          </cell>
          <cell r="D17">
            <v>0</v>
          </cell>
          <cell r="E17">
            <v>8056.0800000000163</v>
          </cell>
        </row>
        <row r="18">
          <cell r="A18" t="str">
            <v>ABRIL 2021</v>
          </cell>
          <cell r="C18">
            <v>6037.22</v>
          </cell>
          <cell r="D18">
            <v>-515.79</v>
          </cell>
          <cell r="E18">
            <v>-3472.9299999998839</v>
          </cell>
        </row>
        <row r="19">
          <cell r="A19" t="str">
            <v>MAIO 2021</v>
          </cell>
          <cell r="C19">
            <v>3995.28</v>
          </cell>
          <cell r="D19">
            <v>0</v>
          </cell>
          <cell r="E19">
            <v>-197.63999999998623</v>
          </cell>
        </row>
        <row r="20">
          <cell r="A20" t="str">
            <v>JUNHO 2021</v>
          </cell>
          <cell r="C20">
            <v>17000</v>
          </cell>
          <cell r="D20">
            <v>-268.54000000000002</v>
          </cell>
          <cell r="E20">
            <v>2483.7799999999916</v>
          </cell>
        </row>
        <row r="21">
          <cell r="A21" t="str">
            <v>JULHO 2021</v>
          </cell>
          <cell r="C21">
            <v>10000</v>
          </cell>
          <cell r="D21">
            <v>-41.76</v>
          </cell>
          <cell r="E21">
            <v>2050.3699999999862</v>
          </cell>
        </row>
        <row r="22">
          <cell r="A22" t="str">
            <v>AGOSTO 2021</v>
          </cell>
          <cell r="C22">
            <v>30535.62</v>
          </cell>
          <cell r="D22">
            <v>-24809.809999999998</v>
          </cell>
          <cell r="E22">
            <v>13252.599999999915</v>
          </cell>
        </row>
        <row r="23">
          <cell r="A23" t="str">
            <v>SETEMBRO 2021</v>
          </cell>
          <cell r="C23">
            <v>17755.13</v>
          </cell>
          <cell r="D23">
            <v>-6017.69</v>
          </cell>
          <cell r="E23">
            <v>-16530.679999999993</v>
          </cell>
        </row>
        <row r="24">
          <cell r="A24" t="str">
            <v>OUTUBRO 2021</v>
          </cell>
          <cell r="C24">
            <v>21526.55</v>
          </cell>
          <cell r="D24">
            <v>-11505.470000000001</v>
          </cell>
          <cell r="E24">
            <v>85.089999999985594</v>
          </cell>
        </row>
        <row r="25">
          <cell r="A25" t="str">
            <v>NOVEMBRO 2021</v>
          </cell>
          <cell r="C25">
            <v>17010.830000000002</v>
          </cell>
          <cell r="D25">
            <v>-287.01</v>
          </cell>
          <cell r="E25">
            <v>-1212.6199999999917</v>
          </cell>
        </row>
        <row r="26">
          <cell r="A26" t="str">
            <v>DEZEMBRO 2021</v>
          </cell>
          <cell r="C26">
            <v>11021.12</v>
          </cell>
          <cell r="D26">
            <v>-10794.14</v>
          </cell>
          <cell r="E26">
            <v>5753.0700000001034</v>
          </cell>
        </row>
        <row r="27">
          <cell r="A27" t="str">
            <v>TOTAL 2021</v>
          </cell>
          <cell r="E27">
            <v>12532.710000000045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ICARDO DIAS MARTINS DE CARVALHO" id="{BF003B54-299B-4033-BAF1-31E8905B49C3}" userId="30148577c57a3cf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DIAS MARTINS DE CARVALHO" refreshedDate="45301.721445833333" createdVersion="8" refreshedVersion="8" minRefreshableVersion="3" recordCount="46" xr:uid="{89E6317B-E893-0242-9C6B-F05469A7EAF4}">
  <cacheSource type="worksheet">
    <worksheetSource name="ValoresMensais"/>
  </cacheSource>
  <cacheFields count="30">
    <cacheField name="MERCADO" numFmtId="0">
      <sharedItems containsBlank="1" count="5">
        <s v="RENDA VARIÁVEL"/>
        <s v="RENDA FIXA"/>
        <s v="COE"/>
        <s v="FUNDOS DE INVESTIMENTO"/>
        <m u="1"/>
      </sharedItems>
    </cacheField>
    <cacheField name="MODALIDADE" numFmtId="0">
      <sharedItems containsBlank="1" count="15">
        <s v="AÇÕES"/>
        <s v="CARTEIRAS RECOMENDADAS"/>
        <s v="CDB"/>
        <s v="COE"/>
        <s v="CRA"/>
        <s v="DEBÊNTURES"/>
        <s v="FUNDOS DE INVESTIMENTO"/>
        <s v="FUNDOS IMOBILIÁRIOS"/>
        <s v="LCA"/>
        <s v="LCI"/>
        <m u="1"/>
        <s v="ALUGUEL DE AÇÕES" u="1"/>
        <s v="Ações / Aluguel" u="1"/>
        <s v="Debênture" u="1"/>
        <s v="FI" u="1"/>
      </sharedItems>
    </cacheField>
    <cacheField name="DESCRIÇÃO" numFmtId="49">
      <sharedItems/>
    </cacheField>
    <cacheField name="DATA COMPRA" numFmtId="170">
      <sharedItems containsSemiMixedTypes="0" containsNonDate="0" containsDate="1" containsString="0" minDate="2020-06-03T00:00:00" maxDate="2023-05-11T00:00:00"/>
    </cacheField>
    <cacheField name="DATA VENCIMENTO" numFmtId="170">
      <sharedItems containsDate="1" containsBlank="1" containsMixedTypes="1" minDate="2020-08-18T00:00:00" maxDate="2032-05-21T00:00:00" count="73">
        <d v="2032-05-18T00:00:00"/>
        <d v="2032-05-20T00:00:00"/>
        <d v="2032-05-19T00:00:00"/>
        <d v="2023-03-16T00:00:00"/>
        <d v="2023-03-23T00:00:00"/>
        <d v="2024-03-21T00:00:00"/>
        <d v="2024-04-15T00:00:00"/>
        <d v="2024-09-10T00:00:00"/>
        <d v="2024-11-22T00:00:00"/>
        <d v="2026-03-30T00:00:00"/>
        <d v="2027-03-30T00:00:00"/>
        <s v="16-03-2023"/>
        <d v="2023-06-30T00:00:00"/>
        <d v="2023-08-17T00:00:00"/>
        <d v="2024-03-28T00:00:00"/>
        <d v="2024-04-04T00:00:00"/>
        <d v="2024-07-23T00:00:00"/>
        <d v="2024-11-14T00:00:00"/>
        <d v="2025-04-30T00:00:00"/>
        <d v="2025-09-17T00:00:00"/>
        <d v="2026-03-03T00:00:00"/>
        <d v="2026-06-29T00:00:00"/>
        <d v="2026-11-17T00:00:00"/>
        <d v="2026-03-10T00:00:00"/>
        <d v="2023-09-18T00:00:00"/>
        <d v="2025-10-15T00:00:00"/>
        <d v="2030-12-15T00:00:00"/>
        <d v="2031-04-15T00:00:00"/>
        <d v="2023-04-24T00:00:00"/>
        <d v="2023-09-06T00:00:00"/>
        <d v="2032-05-17T00:00:00"/>
        <d v="2024-09-28T00:00:00"/>
        <d v="2023-02-23T00:00:00"/>
        <d v="2023-03-02T00:00:00"/>
        <d v="2023-03-30T00:00:00"/>
        <d v="2024-04-01T00:00:00"/>
        <d v="2024-05-20T00:00:00"/>
        <d v="2024-07-10T00:00:00"/>
        <d v="2024-10-22T00:00:00"/>
        <d v="2023-09-28T00:00:00"/>
        <d v="2023-05-05T00:00:00"/>
        <d v="2024-05-02T00:00:00"/>
        <d v="2023-05-23T00:00:00" u="1"/>
        <d v="2024-01-04T00:00:00" u="1"/>
        <d v="2023-01-16T00:00:00" u="1"/>
        <d v="2026-03-16T00:00:00" u="1"/>
        <m u="1"/>
        <s v="18-09-2023" u="1"/>
        <s v="28-09-2023" u="1"/>
        <d v="2023-08-30T00:00:00" u="1"/>
        <d v="2024-07-30T00:00:00" u="1"/>
        <d v="2023-03-21T00:00:00" u="1"/>
        <s v="30-03-2026" u="1"/>
        <s v="30-08-2023" u="1"/>
        <d v="2023-04-14T00:00:00" u="1"/>
        <d v="2023-05-10T00:00:00" u="1"/>
        <d v="2022-05-30T00:00:00" u="1"/>
        <d v="2022-09-12T00:00:00" u="1"/>
        <d v="2022-05-23T00:00:00" u="1"/>
        <d v="2022-01-13T00:00:00" u="1"/>
        <d v="2022-07-25T00:00:00" u="1"/>
        <d v="2022-10-31T00:00:00" u="1"/>
        <d v="2022-11-21T00:00:00" u="1"/>
        <d v="2022-05-27T00:00:00" u="1"/>
        <d v="2021-08-06T00:00:00" u="1"/>
        <d v="2022-10-05T00:00:00" u="1"/>
        <d v="2021-12-13T00:00:00" u="1"/>
        <d v="2020-08-18T00:00:00" u="1"/>
        <d v="2020-11-23T00:00:00" u="1"/>
        <d v="2020-10-05T00:00:00" u="1"/>
        <d v="2030-12-16T00:00:00" u="1"/>
        <d v="2023-02-22T00:00:00" u="1"/>
        <d v="2024-01-22T00:00:00" u="1"/>
      </sharedItems>
    </cacheField>
    <cacheField name="CAPITAL INICIAL  INVESTIDO" numFmtId="4">
      <sharedItems containsString="0" containsBlank="1" containsNumber="1" minValue="2000" maxValue="37000"/>
    </cacheField>
    <cacheField name="JANEIRO BRUTO" numFmtId="4">
      <sharedItems containsString="0" containsBlank="1" containsNumber="1" minValue="0" maxValue="41525.089999999997"/>
    </cacheField>
    <cacheField name="JANEIRO LÍQUIDO" numFmtId="4">
      <sharedItems containsString="0" containsBlank="1" containsNumber="1" minValue="0" maxValue="40620.080000000002"/>
    </cacheField>
    <cacheField name="FEVEREIRO BRUTO" numFmtId="4">
      <sharedItems containsString="0" containsBlank="1" containsNumber="1" minValue="0" maxValue="41933.89"/>
    </cacheField>
    <cacheField name="FEVEREIRO LÍQUIDO" numFmtId="4">
      <sharedItems containsString="0" containsBlank="1" containsNumber="1" minValue="0" maxValue="40947.120000000003"/>
    </cacheField>
    <cacheField name="MARÇO BRUTO" numFmtId="4">
      <sharedItems containsString="0" containsBlank="1" containsNumber="1" minValue="0" maxValue="42462.1"/>
    </cacheField>
    <cacheField name="MARÇO LÍQUIDO" numFmtId="4">
      <sharedItems containsString="0" containsBlank="1" containsNumber="1" minValue="0" maxValue="41506.239999999998"/>
    </cacheField>
    <cacheField name="ABRIL BRUTO" numFmtId="4">
      <sharedItems containsString="0" containsBlank="1" containsNumber="1" minValue="0" maxValue="42880.12"/>
    </cacheField>
    <cacheField name="ABRIL LÍQUIDO" numFmtId="4">
      <sharedItems containsString="0" containsBlank="1" containsNumber="1" minValue="0" maxValue="41851.1"/>
    </cacheField>
    <cacheField name="MAIO BRUTO" numFmtId="4">
      <sharedItems containsString="0" containsBlank="1" containsNumber="1" minValue="0" maxValue="43604.73"/>
    </cacheField>
    <cacheField name="MAIO LÍQUIDO" numFmtId="4">
      <sharedItems containsString="0" containsBlank="1" containsNumber="1" minValue="0" maxValue="43529.38"/>
    </cacheField>
    <cacheField name="JUNHO BRUTO" numFmtId="4">
      <sharedItems containsString="0" containsBlank="1" containsNumber="1" minValue="0" maxValue="49512.04"/>
    </cacheField>
    <cacheField name="JUNHO LÍQUIDO" numFmtId="4">
      <sharedItems containsString="0" containsBlank="1" containsNumber="1" minValue="0" maxValue="49366.48"/>
    </cacheField>
    <cacheField name="JULHO BRUTO" numFmtId="4">
      <sharedItems containsString="0" containsBlank="1" containsNumber="1" minValue="0" maxValue="52020.3"/>
    </cacheField>
    <cacheField name="JULHO LÍQUIDO" numFmtId="4">
      <sharedItems containsString="0" containsBlank="1" containsNumber="1" minValue="0" maxValue="51779.56"/>
    </cacheField>
    <cacheField name="AGOSTO BRUTO" numFmtId="4">
      <sharedItems containsString="0" containsBlank="1" containsNumber="1" minValue="0" maxValue="73256.38"/>
    </cacheField>
    <cacheField name="AGOSTO LÍQUIDO" numFmtId="4">
      <sharedItems containsString="0" containsBlank="1" containsNumber="1" minValue="0" maxValue="72904.05"/>
    </cacheField>
    <cacheField name="SETEMBRO BRUTO" numFmtId="4">
      <sharedItems containsString="0" containsBlank="1" containsNumber="1" minValue="0" maxValue="78619.37"/>
    </cacheField>
    <cacheField name="SETEMBRO LÍQUIDO" numFmtId="4">
      <sharedItems containsString="0" containsBlank="1" containsNumber="1" minValue="0" maxValue="78229.97"/>
    </cacheField>
    <cacheField name="OUTUBRO BRUTO" numFmtId="4">
      <sharedItems containsString="0" containsBlank="1" containsNumber="1" minValue="0" maxValue="68617.23"/>
    </cacheField>
    <cacheField name="OUTUBRO LÍQUIDO" numFmtId="4">
      <sharedItems containsString="0" containsBlank="1" containsNumber="1" minValue="0" maxValue="68270.429999999993"/>
    </cacheField>
    <cacheField name="NOVEMBRO BRUTO" numFmtId="4">
      <sharedItems containsString="0" containsBlank="1" containsNumber="1" minValue="0" maxValue="46476.959999999999"/>
    </cacheField>
    <cacheField name="NOVEMBRO LÍQUIDO" numFmtId="4">
      <sharedItems containsString="0" containsBlank="1" containsNumber="1" minValue="0" maxValue="44986.49"/>
    </cacheField>
    <cacheField name="DEZEMBRO BRUTO" numFmtId="4">
      <sharedItems containsString="0" containsBlank="1" containsNumber="1" minValue="0" maxValue="46985.62"/>
    </cacheField>
    <cacheField name="DEZEMBRO LÍQUIDO" numFmtId="4">
      <sharedItems containsString="0" containsBlank="1" containsNumber="1" minValue="0" maxValue="45238.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s v="G2DI33 - G2D INVEST DR3"/>
    <d v="2021-05-14T00:00:00"/>
    <x v="0"/>
    <n v="3995.28"/>
    <n v="1099.26"/>
    <n v="1099.26"/>
    <n v="1093.68"/>
    <n v="1093.68"/>
    <n v="1071.3599999999999"/>
    <n v="1071.3599999999999"/>
    <n v="1076.94"/>
    <n v="1076.94"/>
    <n v="1110.42"/>
    <n v="1110.42"/>
    <n v="1138.32"/>
    <n v="1138.32"/>
    <n v="1177.3800000000001"/>
    <n v="1177.3800000000001"/>
    <n v="1199.7"/>
    <n v="1199.7"/>
    <n v="1288.98"/>
    <n v="1288.98"/>
    <n v="1060.2"/>
    <n v="1060.2"/>
    <n v="1110.42"/>
    <n v="1110.42"/>
    <n v="1166.22"/>
    <n v="1166.22"/>
  </r>
  <r>
    <x v="0"/>
    <x v="0"/>
    <s v="VIIA3"/>
    <d v="2021-08-31T00:00:00"/>
    <x v="1"/>
    <n v="11429"/>
    <n v="2640"/>
    <n v="2640"/>
    <n v="2123"/>
    <n v="2123"/>
    <n v="2068"/>
    <n v="2068"/>
    <n v="2024"/>
    <n v="2024"/>
    <n v="2618"/>
    <n v="2618"/>
    <n v="2365"/>
    <n v="2365"/>
    <n v="2376"/>
    <n v="2376"/>
    <n v="1397"/>
    <n v="1397"/>
    <n v="693"/>
    <n v="693"/>
    <n v="495"/>
    <n v="495"/>
    <n v="594"/>
    <n v="594"/>
    <n v="500.72"/>
    <n v="500.72"/>
  </r>
  <r>
    <x v="0"/>
    <x v="1"/>
    <s v="CESTA DE AÇÕES / 10SIM"/>
    <d v="2021-08-09T00:00:00"/>
    <x v="2"/>
    <n v="25087.57"/>
    <n v="15217.95"/>
    <n v="15217.95"/>
    <n v="13815.52"/>
    <n v="13815.52"/>
    <n v="13492.63"/>
    <n v="13492.63"/>
    <n v="13611.77"/>
    <n v="13611.77"/>
    <n v="13840.35"/>
    <n v="13840.35"/>
    <n v="14415.37"/>
    <n v="14415.37"/>
    <n v="14731.75"/>
    <n v="14731.75"/>
    <n v="13510.53"/>
    <n v="13510.53"/>
    <n v="13309.97"/>
    <n v="13309.97"/>
    <n v="12582.13"/>
    <n v="12582.13"/>
    <n v="14055.16"/>
    <n v="14055.16"/>
    <n v="14272.77"/>
    <n v="14272.77"/>
  </r>
  <r>
    <x v="1"/>
    <x v="2"/>
    <s v="16-03-22 / BTG 100% IPCA (CDB122IX1C1)"/>
    <d v="2022-03-16T00:00:00"/>
    <x v="3"/>
    <n v="30000"/>
    <n v="33083.26"/>
    <n v="32466.61"/>
    <n v="33364.85"/>
    <n v="32691.88"/>
    <m/>
    <m/>
    <m/>
    <m/>
    <m/>
    <m/>
    <m/>
    <m/>
    <m/>
    <m/>
    <m/>
    <m/>
    <m/>
    <m/>
    <m/>
    <m/>
    <m/>
    <m/>
    <m/>
    <m/>
  </r>
  <r>
    <x v="1"/>
    <x v="2"/>
    <s v="23-03-22 / BANCO ORIGINAL (CDB122KMV8Z) "/>
    <d v="2022-03-23T00:00:00"/>
    <x v="4"/>
    <n v="10000"/>
    <n v="11200.33"/>
    <n v="10960.27"/>
    <n v="11306.14"/>
    <n v="11044.92"/>
    <m/>
    <m/>
    <m/>
    <m/>
    <m/>
    <m/>
    <m/>
    <m/>
    <m/>
    <m/>
    <m/>
    <m/>
    <m/>
    <m/>
    <m/>
    <m/>
    <m/>
    <m/>
    <m/>
    <m/>
  </r>
  <r>
    <x v="1"/>
    <x v="2"/>
    <s v="21-03-22 /  BANCO MASTER (CDB122JY2EY)"/>
    <d v="2022-03-21T00:00:00"/>
    <x v="5"/>
    <n v="10000"/>
    <n v="11004.86"/>
    <n v="10803.89"/>
    <n v="11103.33"/>
    <n v="10882.67"/>
    <n v="11280.95"/>
    <n v="11056.79"/>
    <n v="11393.03"/>
    <n v="11149.25"/>
    <n v="11530.03"/>
    <n v="11262.28"/>
    <n v="11600.48"/>
    <n v="11320.4"/>
    <n v="11639.2"/>
    <n v="11352.34"/>
    <n v="11726.11"/>
    <n v="11424.04"/>
    <n v="11812.82"/>
    <n v="11495.58"/>
    <n v="11905.94"/>
    <n v="11572.4"/>
    <n v="11991.83"/>
    <n v="11643.26"/>
    <n v="12083.1"/>
    <n v="11718.56"/>
  </r>
  <r>
    <x v="1"/>
    <x v="2"/>
    <s v="14-04-22 / BANCO MASTER (CDB2224QT2I)"/>
    <d v="2022-04-14T00:00:00"/>
    <x v="6"/>
    <n v="11000"/>
    <n v="12230.63"/>
    <n v="11984.51"/>
    <n v="12347.33"/>
    <n v="12077.87"/>
    <n v="12498.08"/>
    <n v="12198.47"/>
    <n v="12617.34"/>
    <n v="12334.31"/>
    <n v="12764.64"/>
    <n v="12455.83"/>
    <n v="12906.86"/>
    <n v="12573.16"/>
    <n v="13050.66"/>
    <n v="12691.8"/>
    <n v="13209.99"/>
    <n v="12823.25"/>
    <n v="13350.12"/>
    <n v="12938.85"/>
    <n v="13498.86"/>
    <n v="13061.56"/>
    <n v="13642.06"/>
    <n v="13179.7"/>
    <n v="13786.77"/>
    <n v="13299.09"/>
  </r>
  <r>
    <x v="1"/>
    <x v="2"/>
    <s v="10-09-21 / BANCO ORIGINAL (CDB321IZUFY)"/>
    <d v="2021-09-10T00:00:00"/>
    <x v="7"/>
    <n v="6000"/>
    <n v="7055.03"/>
    <n v="6870.4"/>
    <n v="7114.04"/>
    <n v="6919.09"/>
    <n v="7190.17"/>
    <n v="6981.89"/>
    <n v="7250.32"/>
    <n v="7031.52"/>
    <n v="7324.52"/>
    <n v="7092.73"/>
    <n v="7396.05"/>
    <n v="7151.74"/>
    <n v="7468.29"/>
    <n v="7211.34"/>
    <n v="7548.21"/>
    <n v="7277.28"/>
    <n v="7618.4"/>
    <n v="7375.64"/>
    <n v="7692.8"/>
    <n v="7438.88"/>
    <n v="7764.34"/>
    <n v="7499.69"/>
    <n v="7836.54"/>
    <n v="7561.06"/>
  </r>
  <r>
    <x v="1"/>
    <x v="2"/>
    <s v="22-11-22 / BANCO ARBI (CDB422GU5YV)"/>
    <d v="2022-11-22T00:00:00"/>
    <x v="8"/>
    <n v="8000"/>
    <n v="8255.83"/>
    <n v="8198.27"/>
    <n v="8349.92"/>
    <n v="8271.19"/>
    <n v="8471.7099999999991"/>
    <n v="8365.58"/>
    <n v="8568.26"/>
    <n v="8440.41"/>
    <n v="8687.76"/>
    <n v="8550.2099999999991"/>
    <n v="8803.3799999999992"/>
    <n v="8642.7099999999991"/>
    <n v="8920.5499999999993"/>
    <n v="8736.44"/>
    <n v="9046.73"/>
    <n v="8837.39"/>
    <n v="9156.19"/>
    <n v="8924.9599999999991"/>
    <n v="9269.58"/>
    <n v="9015.67"/>
    <n v="9375.18"/>
    <n v="9134.5300000000007"/>
    <n v="9479.48"/>
    <n v="9220.57"/>
  </r>
  <r>
    <x v="1"/>
    <x v="2"/>
    <s v="30-03-23 / BANCO DIGIMAIS (CDB123TMUHH)"/>
    <d v="2023-03-30T00:00:00"/>
    <x v="9"/>
    <n v="15000"/>
    <m/>
    <m/>
    <m/>
    <m/>
    <n v="15008.83"/>
    <n v="15000.28"/>
    <n v="15168.79"/>
    <n v="15126.89"/>
    <n v="15366.62"/>
    <n v="15284.13"/>
    <n v="15557.86"/>
    <n v="15432.35"/>
    <n v="15751.48"/>
    <n v="15582.4"/>
    <n v="15959.82"/>
    <n v="15743.86"/>
    <n v="16140.4"/>
    <n v="15912.32"/>
    <n v="16327.32"/>
    <n v="16061.86"/>
    <n v="16501.259999999998"/>
    <n v="16201.01"/>
    <n v="16672.939999999999"/>
    <n v="16338.36"/>
  </r>
  <r>
    <x v="1"/>
    <x v="2"/>
    <s v="30-03-22 / BANCO MASTER (CDB122M9N36) "/>
    <d v="2022-03-30T00:00:00"/>
    <x v="10"/>
    <n v="37000"/>
    <n v="41525.089999999997"/>
    <n v="40620.080000000002"/>
    <n v="41933.89"/>
    <n v="40947.120000000003"/>
    <n v="42462.1"/>
    <n v="41506.239999999998"/>
    <n v="42880.12"/>
    <n v="41851.1"/>
    <n v="43396.63"/>
    <n v="42277.22"/>
    <n v="43895.46"/>
    <n v="42688.76"/>
    <n v="44400.02"/>
    <n v="43105.02"/>
    <n v="44959.3"/>
    <n v="43566.43"/>
    <n v="45451.35"/>
    <n v="43972.37"/>
    <n v="45973.8"/>
    <n v="44403.39"/>
    <n v="46476.959999999999"/>
    <n v="44818.5"/>
    <n v="46985.62"/>
    <n v="45238.14"/>
  </r>
  <r>
    <x v="1"/>
    <x v="2"/>
    <s v="21-03-22 / BANCO OURINVEST (CDB122JY1V1) "/>
    <d v="2022-03-21T00:00:00"/>
    <x v="11"/>
    <n v="10000"/>
    <n v="11301.98"/>
    <n v="11041.59"/>
    <n v="11420.35"/>
    <n v="11136.28"/>
    <m/>
    <m/>
    <m/>
    <m/>
    <m/>
    <m/>
    <m/>
    <m/>
    <m/>
    <m/>
    <m/>
    <m/>
    <m/>
    <m/>
    <m/>
    <m/>
    <m/>
    <m/>
    <m/>
    <m/>
  </r>
  <r>
    <x v="2"/>
    <x v="3"/>
    <s v="24-06-20 / CREDIT SUISSE (B80120F3487)"/>
    <d v="2020-06-24T00:00:00"/>
    <x v="12"/>
    <n v="10000"/>
    <n v="10286.950000000001"/>
    <n v="10243.91"/>
    <n v="10000"/>
    <n v="10000"/>
    <n v="10100.84"/>
    <n v="10085.719999999999"/>
    <n v="10323.5"/>
    <n v="10274.98"/>
    <n v="10336.35"/>
    <n v="10285.9"/>
    <m/>
    <m/>
    <n v="0"/>
    <n v="0"/>
    <n v="0"/>
    <n v="0"/>
    <n v="0"/>
    <n v="0"/>
    <n v="0"/>
    <n v="0"/>
    <n v="0"/>
    <n v="0"/>
    <n v="0"/>
    <n v="0"/>
  </r>
  <r>
    <x v="2"/>
    <x v="3"/>
    <s v="30-07-21 / BTG (BT0221G3QRZ) "/>
    <d v="2021-07-30T00:00:00"/>
    <x v="13"/>
    <n v="10000"/>
    <n v="11201.58"/>
    <n v="10991.31"/>
    <n v="11261.15"/>
    <n v="11040.45"/>
    <n v="11369.71"/>
    <n v="11130.02"/>
    <n v="11536.5"/>
    <n v="11267.62"/>
    <n v="11514.95"/>
    <n v="11249.84"/>
    <n v="11912.39"/>
    <n v="11577.73"/>
    <n v="12174.46"/>
    <n v="11848.3"/>
    <m/>
    <n v="0"/>
    <n v="0"/>
    <n v="0"/>
    <n v="0"/>
    <n v="0"/>
    <n v="0"/>
    <n v="0"/>
    <n v="0"/>
    <n v="0"/>
  </r>
  <r>
    <x v="2"/>
    <x v="3"/>
    <s v="31-03-22 / GLD UP (BT0122C4PC1)"/>
    <d v="2022-03-31T00:00:00"/>
    <x v="14"/>
    <n v="6100"/>
    <n v="6100"/>
    <n v="6100"/>
    <n v="6100"/>
    <n v="6100"/>
    <n v="6233.76"/>
    <n v="6210.36"/>
    <n v="6254.94"/>
    <n v="6227.83"/>
    <n v="6154.25"/>
    <n v="6144.76"/>
    <n v="6100"/>
    <n v="6100"/>
    <n v="6147.56"/>
    <n v="6139.24"/>
    <n v="6100"/>
    <n v="6100"/>
    <n v="6100"/>
    <n v="6100"/>
    <n v="6267.95"/>
    <n v="6238.56"/>
    <n v="6432.93"/>
    <n v="6374.67"/>
    <n v="6504.65"/>
    <n v="6433.84"/>
  </r>
  <r>
    <x v="2"/>
    <x v="3"/>
    <s v="30-03-22 / BNP PARIBAS (PB0122C4OWI)"/>
    <d v="2022-03-30T00:00:00"/>
    <x v="15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  <n v="9000"/>
  </r>
  <r>
    <x v="2"/>
    <x v="3"/>
    <s v="20-JUL-20 / BTG (BT0520G34Q7)"/>
    <d v="2020-07-20T00:00:00"/>
    <x v="16"/>
    <n v="11000"/>
    <n v="12753.6"/>
    <n v="12490.56"/>
    <n v="12559.23"/>
    <n v="12325.35"/>
    <n v="12541.2"/>
    <n v="12310.02"/>
    <n v="12960.97"/>
    <n v="12666.83"/>
    <n v="12258.32"/>
    <n v="12069.58"/>
    <n v="12705.09"/>
    <n v="12449.33"/>
    <n v="12973.68"/>
    <n v="12677.63"/>
    <n v="12632.86"/>
    <n v="12387.93"/>
    <n v="12109.95"/>
    <n v="11943.46"/>
    <n v="12082.5"/>
    <n v="11920.13"/>
    <n v="12511.68"/>
    <n v="12284.93"/>
    <n v="12925.69"/>
    <n v="12636.84"/>
  </r>
  <r>
    <x v="2"/>
    <x v="3"/>
    <s v="29-10-21 / CREDIT SUISSE (B80121J42LX) "/>
    <d v="2021-10-29T00:00:00"/>
    <x v="17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  <n v="20000"/>
  </r>
  <r>
    <x v="2"/>
    <x v="3"/>
    <s v="28-04-22 / GOLDMAN SACHS (GS0122D4WV8)"/>
    <d v="2022-04-28T00:00:00"/>
    <x v="18"/>
    <n v="10000"/>
    <n v="12210.24"/>
    <n v="11768.2"/>
    <n v="12632.07"/>
    <n v="12105.66"/>
    <n v="12842.01"/>
    <n v="12273.61"/>
    <n v="12798.81"/>
    <n v="12309.02"/>
    <n v="12792.84"/>
    <n v="12304.1"/>
    <n v="12339.68"/>
    <n v="11930.24"/>
    <n v="12438.32"/>
    <n v="12011.62"/>
    <n v="12520.01"/>
    <n v="12079.01"/>
    <n v="12475.77"/>
    <n v="12042.51"/>
    <n v="12441.19"/>
    <n v="12013.99"/>
    <n v="12566.62"/>
    <n v="12117.47"/>
    <n v="12469.86"/>
    <n v="12037.64"/>
  </r>
  <r>
    <x v="2"/>
    <x v="3"/>
    <s v="16-SET-20 / BTG (BT1120I36XY) "/>
    <d v="2020-09-16T00:00:00"/>
    <x v="19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</r>
  <r>
    <x v="2"/>
    <x v="3"/>
    <s v="01-SET-20 / BTG (BT5620I36B4) "/>
    <d v="2020-09-01T00:00:00"/>
    <x v="2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  <n v="30000"/>
  </r>
  <r>
    <x v="2"/>
    <x v="3"/>
    <s v="28-06-21 / BTG (BT0821F3NXE) "/>
    <d v="2021-06-28T00:00:00"/>
    <x v="21"/>
    <n v="12000"/>
    <n v="12427.5"/>
    <n v="12352.69"/>
    <n v="12671.62"/>
    <n v="12554.09"/>
    <n v="12499.45"/>
    <n v="12412.05"/>
    <n v="12230.21"/>
    <n v="12189.93"/>
    <n v="12338.25"/>
    <n v="12279.06"/>
    <n v="12151.68"/>
    <n v="12128.93"/>
    <n v="12476.28"/>
    <n v="12404.84"/>
    <n v="12134.86"/>
    <n v="12114.64"/>
    <n v="12309.47"/>
    <n v="12263.05"/>
    <n v="12211.68"/>
    <n v="12179.93"/>
    <n v="12066.57"/>
    <n v="12056.59"/>
    <n v="12193.39"/>
    <n v="12164.39"/>
  </r>
  <r>
    <x v="2"/>
    <x v="3"/>
    <s v="16-11-21 / BTG (BT1821K44DS) "/>
    <d v="2021-11-15T00:00:00"/>
    <x v="22"/>
    <n v="7000"/>
    <n v="7994.17"/>
    <n v="7820.19"/>
    <n v="8047.28"/>
    <n v="7864.01"/>
    <n v="7944.75"/>
    <n v="7779.42"/>
    <n v="7818.41"/>
    <n v="7675.19"/>
    <n v="7713.52"/>
    <n v="7588.66"/>
    <n v="7428.13"/>
    <n v="7353.21"/>
    <n v="7150.4"/>
    <n v="7124.08"/>
    <n v="7251.09"/>
    <n v="7207.15"/>
    <n v="7572.73"/>
    <n v="7472.51"/>
    <n v="7771.36"/>
    <n v="7636.38"/>
    <n v="7197.71"/>
    <n v="7168.06"/>
    <n v="7150.22"/>
    <n v="7127.69"/>
  </r>
  <r>
    <x v="1"/>
    <x v="4"/>
    <s v="30-03-21 / TEREOS ACUCAR E ENERGIA (CRA021000MF)"/>
    <d v="2021-03-30T00:00:00"/>
    <x v="23"/>
    <n v="5000"/>
    <n v="5710.02"/>
    <n v="5710.02"/>
    <n v="5724.19"/>
    <n v="5724.19"/>
    <n v="5631.92"/>
    <n v="5631.92"/>
    <n v="5645.13"/>
    <n v="5645.13"/>
    <n v="5677.5"/>
    <n v="5677.5"/>
    <n v="5753.39"/>
    <n v="5753.39"/>
    <n v="5811.39"/>
    <n v="5811.39"/>
    <n v="5878.02"/>
    <n v="5878.02"/>
    <n v="5779.08"/>
    <n v="5779.08"/>
    <n v="5792.64"/>
    <n v="5792.64"/>
    <n v="5868.31"/>
    <n v="5868.31"/>
    <n v="5953.38"/>
    <n v="5953.38"/>
  </r>
  <r>
    <x v="1"/>
    <x v="4"/>
    <s v="02-06-22 / VAMOS ECO SECURITIZADORA (CRA022004MS)"/>
    <d v="2022-06-02T00:00:00"/>
    <x v="24"/>
    <n v="6000"/>
    <n v="5836.83"/>
    <n v="5836.83"/>
    <n v="5872.02"/>
    <n v="5872.02"/>
    <n v="5835.65"/>
    <n v="5835.65"/>
    <n v="5973.31"/>
    <n v="5973.31"/>
    <n v="5902.09"/>
    <n v="5902.09"/>
    <n v="6057.48"/>
    <n v="6057.48"/>
    <n v="6175.14"/>
    <n v="6175.14"/>
    <n v="6194.4"/>
    <n v="6194.4"/>
    <m/>
    <m/>
    <n v="0"/>
    <n v="0"/>
    <n v="0"/>
    <n v="0"/>
    <n v="0"/>
    <n v="0"/>
  </r>
  <r>
    <x v="1"/>
    <x v="5"/>
    <s v="LIGHT - LIGHA5 (IPCA + 4,05%)"/>
    <d v="2020-06-03T00:00:00"/>
    <x v="25"/>
    <n v="10597.39"/>
    <n v="11646"/>
    <n v="11646"/>
    <n v="6383.72"/>
    <n v="6383.72"/>
    <n v="4206.62"/>
    <n v="4206.62"/>
    <n v="3812.34"/>
    <n v="3812.34"/>
    <n v="4195.08"/>
    <n v="4195.08"/>
    <n v="4677.59"/>
    <n v="4677.59"/>
    <n v="4992.08"/>
    <n v="4992.08"/>
    <n v="4799.45"/>
    <n v="4799.45"/>
    <n v="4880.6899999999996"/>
    <n v="4880.6899999999996"/>
    <n v="4999.84"/>
    <n v="4999.84"/>
    <n v="5135.92"/>
    <n v="5135.92"/>
    <n v="4957.0600000000004"/>
    <n v="4957.0600000000004"/>
  </r>
  <r>
    <x v="1"/>
    <x v="5"/>
    <s v="LIGHT - LIGHA5 (IPCA + 3,80%)"/>
    <d v="2020-11-26T00:00:00"/>
    <x v="25"/>
    <n v="6032.24"/>
    <n v="6470"/>
    <n v="6470"/>
    <n v="3546.51"/>
    <n v="3546.51"/>
    <n v="2337.0100000000002"/>
    <n v="2337.0100000000002"/>
    <n v="2117.96"/>
    <n v="2117.96"/>
    <n v="2330.6"/>
    <n v="2330.6"/>
    <n v="2598.66"/>
    <n v="2598.66"/>
    <n v="2773.37"/>
    <n v="2773.37"/>
    <n v="2666.36"/>
    <n v="2666.36"/>
    <n v="2711.49"/>
    <n v="2711.49"/>
    <n v="2777.68"/>
    <n v="2777.68"/>
    <n v="2853.28"/>
    <n v="2853.28"/>
    <n v="2753.92"/>
    <n v="2753.92"/>
  </r>
  <r>
    <x v="1"/>
    <x v="5"/>
    <s v="RUMO S.A. - RUMOA5"/>
    <d v="2021-02-03T00:00:00"/>
    <x v="26"/>
    <n v="3000"/>
    <n v="2840.72"/>
    <n v="2840.72"/>
    <n v="2844.33"/>
    <n v="2844.33"/>
    <n v="2927.15"/>
    <n v="2927.15"/>
    <n v="2982.01"/>
    <n v="2982.01"/>
    <n v="3103.16"/>
    <n v="3103.16"/>
    <n v="3147.33"/>
    <n v="3147.33"/>
    <n v="3175.6"/>
    <n v="3175.6"/>
    <n v="3181.97"/>
    <n v="3181.97"/>
    <m/>
    <m/>
    <n v="0"/>
    <n v="0"/>
    <n v="0"/>
    <n v="0"/>
    <n v="0"/>
    <n v="0"/>
  </r>
  <r>
    <x v="1"/>
    <x v="5"/>
    <s v="LIGHT - LIGHD2 (IPCA + 4,75%)"/>
    <d v="2021-06-15T00:00:00"/>
    <x v="27"/>
    <n v="5000"/>
    <n v="4863.59"/>
    <n v="4863.59"/>
    <n v="3009.94"/>
    <n v="3009.94"/>
    <n v="2053.3000000000002"/>
    <n v="2053.3000000000002"/>
    <n v="1774.58"/>
    <n v="1774.58"/>
    <n v="1961.01"/>
    <n v="1961.01"/>
    <n v="2313.75"/>
    <n v="2313.75"/>
    <n v="2408.96"/>
    <n v="2408.96"/>
    <n v="2380.7600000000002"/>
    <n v="2380.7600000000002"/>
    <n v="2427.66"/>
    <n v="2427.66"/>
    <n v="2575.9699999999998"/>
    <n v="2575.9699999999998"/>
    <n v="2642.32"/>
    <n v="2642.32"/>
    <n v="2546.34"/>
    <n v="2546.34"/>
  </r>
  <r>
    <x v="3"/>
    <x v="6"/>
    <s v="25-05-22 / LEGACY CAPITAL FIC"/>
    <d v="2022-05-25T00:00:00"/>
    <x v="28"/>
    <n v="9998.5300000000007"/>
    <n v="10499.25"/>
    <n v="10433.280000000001"/>
    <n v="10622.89"/>
    <n v="10532.19"/>
    <n v="10609.9"/>
    <n v="105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6"/>
    <s v="22-11-22 / RIZA LOTUS FI"/>
    <d v="2022-11-22T00:00:00"/>
    <x v="29"/>
    <m/>
    <n v="346.33"/>
    <n v="345.71"/>
    <n v="2553.56"/>
    <n v="2550.0100000000002"/>
    <n v="1587.21"/>
    <n v="1583.97"/>
    <n v="1598.38"/>
    <n v="1592.93"/>
    <n v="1611.7"/>
    <n v="1608.39"/>
    <n v="1631.11"/>
    <n v="1623.43"/>
    <n v="1650.16"/>
    <n v="1638.19"/>
    <n v="1670.57"/>
    <n v="1656.59"/>
    <n v="0"/>
    <n v="0"/>
    <n v="0"/>
    <n v="0"/>
    <n v="0"/>
    <n v="0"/>
    <n v="0"/>
    <n v="0"/>
  </r>
  <r>
    <x v="3"/>
    <x v="6"/>
    <s v="24-10-22 / SUL AMERICA EXCELLENCE FIRP"/>
    <d v="2022-10-24T00:00:00"/>
    <x v="30"/>
    <n v="9953.2000000000007"/>
    <n v="1165.79"/>
    <n v="1163.3499999999999"/>
    <n v="7499.38"/>
    <n v="7486.87"/>
    <n v="1963.17"/>
    <n v="1959.3"/>
    <n v="1981.08"/>
    <n v="1973.54"/>
    <n v="1997.52"/>
    <n v="1993.11"/>
    <n v="2020.29"/>
    <n v="2010.76"/>
    <n v="2045.95"/>
    <n v="2030.65"/>
    <n v="2074.89"/>
    <n v="2056.48"/>
    <n v="2098.5500000000002"/>
    <n v="2075.41"/>
    <n v="2121.8200000000002"/>
    <n v="2094.02"/>
    <n v="2122.58"/>
    <n v="2112.29"/>
    <n v="2141.67"/>
    <n v="2127.56"/>
  </r>
  <r>
    <x v="3"/>
    <x v="6"/>
    <s v="02-03-23 / BTG CDB PLUS FI"/>
    <d v="2023-03-02T00:00:00"/>
    <x v="30"/>
    <n v="2000"/>
    <n v="0"/>
    <n v="0"/>
    <n v="0"/>
    <n v="0"/>
    <n v="31543.95"/>
    <n v="31453.5"/>
    <n v="35865.699999999997"/>
    <n v="35790.339999999997"/>
    <n v="43604.73"/>
    <n v="43529.38"/>
    <n v="49512.04"/>
    <n v="49366.48"/>
    <n v="52020.3"/>
    <n v="51779.56"/>
    <n v="73256.38"/>
    <n v="72904.05"/>
    <n v="78619.37"/>
    <n v="78229.97"/>
    <n v="68617.23"/>
    <n v="68270.429999999993"/>
    <n v="45110.48"/>
    <n v="44986.49"/>
    <n v="35844.9"/>
    <n v="35697.769999999997"/>
  </r>
  <r>
    <x v="3"/>
    <x v="6"/>
    <s v="30-03-22 / ACCESS KAPITALO K10"/>
    <d v="2022-03-30T00:00:00"/>
    <x v="31"/>
    <n v="5000"/>
    <n v="15802.39"/>
    <n v="15689.81"/>
    <n v="15666.9"/>
    <n v="15583.6"/>
    <n v="16120.78"/>
    <n v="15957.27"/>
    <n v="16262.45"/>
    <n v="16069.57"/>
    <n v="16098.07"/>
    <n v="16052.27"/>
    <n v="16017.31"/>
    <n v="15986.95"/>
    <n v="16631.29"/>
    <n v="16483.580000000002"/>
    <n v="16629.189999999999"/>
    <n v="16481.88"/>
    <m/>
    <m/>
    <n v="0"/>
    <n v="0"/>
    <n v="0"/>
    <n v="0"/>
    <n v="0"/>
    <n v="0"/>
  </r>
  <r>
    <x v="0"/>
    <x v="7"/>
    <s v="BDIF11 - FIC INFR BTGCI ER"/>
    <d v="2021-03-31T00:00:00"/>
    <x v="30"/>
    <n v="6037.22"/>
    <n v="4901"/>
    <n v="4901"/>
    <n v="4863"/>
    <n v="4863"/>
    <n v="4813.42"/>
    <n v="4813.42"/>
    <n v="4929.42"/>
    <n v="4929.42"/>
    <n v="5115.6000000000004"/>
    <n v="5115.6000000000004"/>
    <n v="5286.7"/>
    <n v="5286.7"/>
    <n v="5382.98"/>
    <n v="5382.98"/>
    <n v="5463.6"/>
    <n v="5463.6"/>
    <n v="5365"/>
    <n v="5365"/>
    <n v="5398.64"/>
    <n v="5398.64"/>
    <n v="5080.8"/>
    <n v="5080.8"/>
    <n v="5356.3"/>
    <n v="5356.3"/>
  </r>
  <r>
    <x v="1"/>
    <x v="8"/>
    <s v="21-02-22 / BTG (LCA-22B00556338)"/>
    <d v="2022-02-21T00:00:00"/>
    <x v="32"/>
    <n v="10000"/>
    <n v="11150.89"/>
    <n v="11150.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8"/>
    <s v="02-03-22 / BTG (LCA-22C00023609)"/>
    <d v="2022-03-02T00:00:00"/>
    <x v="33"/>
    <n v="17000"/>
    <n v="18511.669999999998"/>
    <n v="18511.669999999998"/>
    <n v="18655.72"/>
    <n v="18655.72"/>
    <m/>
    <m/>
    <m/>
    <m/>
    <m/>
    <m/>
    <m/>
    <m/>
    <m/>
    <m/>
    <m/>
    <m/>
    <m/>
    <m/>
    <m/>
    <m/>
    <m/>
    <m/>
    <m/>
    <m/>
  </r>
  <r>
    <x v="1"/>
    <x v="8"/>
    <s v="30-03-22 / BANCO BOCOM (LCA-22C01154911)"/>
    <d v="2022-03-30T00:00:00"/>
    <x v="34"/>
    <n v="30000"/>
    <n v="32817.449999999997"/>
    <n v="32817.449999999997"/>
    <n v="33068.519999999997"/>
    <n v="33068.519999999997"/>
    <m/>
    <m/>
    <m/>
    <m/>
    <m/>
    <m/>
    <m/>
    <m/>
    <m/>
    <m/>
    <m/>
    <m/>
    <m/>
    <m/>
    <m/>
    <m/>
    <m/>
    <m/>
    <m/>
    <m/>
  </r>
  <r>
    <x v="1"/>
    <x v="8"/>
    <s v="30-03-23 / BANCO VOTORANTIM (LCA-23C02714265)"/>
    <d v="2023-03-30T00:00:00"/>
    <x v="35"/>
    <n v="18000"/>
    <m/>
    <m/>
    <m/>
    <m/>
    <n v="18007.86"/>
    <n v="18007.86"/>
    <n v="18150.05"/>
    <n v="18150.05"/>
    <n v="18325.36"/>
    <n v="18325.36"/>
    <n v="18494.29"/>
    <n v="18494.29"/>
    <n v="18664.77"/>
    <n v="18664.77"/>
    <n v="18853.29"/>
    <n v="18853.29"/>
    <n v="19018.759999999998"/>
    <n v="19018.759999999998"/>
    <n v="19194.080000000002"/>
    <n v="19194.080000000002"/>
    <n v="19362.55"/>
    <n v="19362.55"/>
    <n v="19532.5"/>
    <n v="19532.5"/>
  </r>
  <r>
    <x v="1"/>
    <x v="8"/>
    <s v="30-03-23 / BTG (LCA-23C02705202)"/>
    <d v="2023-03-30T00:00:00"/>
    <x v="15"/>
    <n v="15000"/>
    <m/>
    <m/>
    <m/>
    <m/>
    <n v="15007"/>
    <n v="15007"/>
    <n v="15133.72"/>
    <n v="15133.72"/>
    <n v="15140.79"/>
    <n v="15140.79"/>
    <n v="15140.79"/>
    <n v="15140.79"/>
    <n v="15140.79"/>
    <n v="15140.79"/>
    <n v="15006.76"/>
    <n v="15006.76"/>
    <n v="15000"/>
    <n v="15000"/>
    <n v="15000"/>
    <n v="15000"/>
    <n v="15126.6"/>
    <n v="15126.6"/>
    <n v="15117.31"/>
    <n v="15117.31"/>
  </r>
  <r>
    <x v="1"/>
    <x v="8"/>
    <s v="22-11-22 / COOPERATIVA (LCA-22K01262726)"/>
    <d v="2022-11-22T00:00:00"/>
    <x v="36"/>
    <n v="8000"/>
    <n v="8205.7000000000007"/>
    <n v="8205.7000000000007"/>
    <n v="8281.0400000000009"/>
    <n v="8281.0400000000009"/>
    <n v="8378.31"/>
    <n v="8378.31"/>
    <n v="8455.24"/>
    <n v="8455.24"/>
    <n v="8550.2099999999991"/>
    <n v="8550.2099999999991"/>
    <n v="8641.8700000000008"/>
    <n v="8641.8700000000008"/>
    <n v="8734.51"/>
    <n v="8734.51"/>
    <n v="8834.02"/>
    <n v="8834.02"/>
    <n v="8920.1200000000008"/>
    <n v="8920.1200000000008"/>
    <n v="9009.11"/>
    <n v="9009.11"/>
    <n v="9091.7900000000009"/>
    <n v="9091.7900000000009"/>
    <n v="9173.2800000000007"/>
    <n v="9173.2800000000007"/>
  </r>
  <r>
    <x v="1"/>
    <x v="8"/>
    <s v="05-10-23 / BTG (LCA-23J01085256)"/>
    <d v="2023-05-10T00:00:00"/>
    <x v="37"/>
    <n v="1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0076.629999999999"/>
    <n v="10076.629999999999"/>
    <n v="10164.459999999999"/>
    <n v="10164.459999999999"/>
    <n v="10250.99"/>
    <n v="10250.99"/>
  </r>
  <r>
    <x v="1"/>
    <x v="8"/>
    <s v="01-11-22 / COOPERATIVA (LCA-22K00018947)"/>
    <d v="2022-11-01T00:00:00"/>
    <x v="38"/>
    <n v="10000"/>
    <n v="10331.66"/>
    <n v="10331.66"/>
    <n v="10428.42"/>
    <n v="10428.42"/>
    <n v="10553.38"/>
    <n v="10553.38"/>
    <n v="10652.23"/>
    <n v="10652.23"/>
    <n v="10774.29"/>
    <n v="10774.29"/>
    <n v="10892.11"/>
    <n v="10892.11"/>
    <n v="11011.22"/>
    <n v="11011.22"/>
    <n v="11139.19"/>
    <n v="11139.19"/>
    <n v="11249.94"/>
    <n v="11249.94"/>
    <n v="11364.42"/>
    <n v="11364.42"/>
    <n v="11470.82"/>
    <n v="11470.82"/>
    <n v="11575.7"/>
    <n v="11575.7"/>
  </r>
  <r>
    <x v="1"/>
    <x v="8"/>
    <s v="02-03-23 / BANCO VOITER (LCA-23C00117173)"/>
    <d v="2023-02-03T00:00:00"/>
    <x v="39"/>
    <n v="16000"/>
    <m/>
    <m/>
    <m/>
    <m/>
    <n v="16161.17"/>
    <n v="16161.17"/>
    <n v="16300.62"/>
    <n v="16300.62"/>
    <n v="16472.68"/>
    <n v="16472.68"/>
    <n v="16638.62"/>
    <n v="16638.62"/>
    <n v="16806.23"/>
    <n v="16806.23"/>
    <m/>
    <m/>
    <n v="0"/>
    <n v="0"/>
    <n v="0"/>
    <n v="0"/>
    <n v="0"/>
    <n v="0"/>
    <n v="0"/>
    <n v="0"/>
  </r>
  <r>
    <x v="1"/>
    <x v="9"/>
    <s v="05-05-22 / BANCO FIDIS (LCI-22E00495817)"/>
    <d v="2022-05-05T00:00:00"/>
    <x v="40"/>
    <n v="10000"/>
    <n v="10962.92"/>
    <n v="10962.92"/>
    <n v="11061.56"/>
    <n v="11061.56"/>
    <n v="11188.88"/>
    <n v="11188.88"/>
    <n v="11289.55"/>
    <n v="11289.55"/>
    <m/>
    <m/>
    <n v="0"/>
    <n v="0"/>
    <n v="0"/>
    <n v="0"/>
    <n v="0"/>
    <n v="0"/>
    <n v="0"/>
    <n v="0"/>
    <n v="0"/>
    <n v="0"/>
    <n v="0"/>
    <n v="0"/>
    <n v="0"/>
    <n v="0"/>
  </r>
  <r>
    <x v="1"/>
    <x v="9"/>
    <s v="13-05-22 / BANCO ORIGINAL (LCI-22E00745661)"/>
    <d v="2022-05-13T00:00:00"/>
    <x v="41"/>
    <n v="10000"/>
    <n v="10894.87"/>
    <n v="10894.87"/>
    <n v="10987.61"/>
    <n v="10987.61"/>
    <n v="11107.27"/>
    <n v="11107.27"/>
    <n v="11201.82"/>
    <n v="11201.82"/>
    <n v="11318.47"/>
    <n v="11318.47"/>
    <n v="11430.96"/>
    <n v="11430.96"/>
    <n v="11544.57"/>
    <n v="11544.57"/>
    <n v="11670.29"/>
    <n v="11670.29"/>
    <n v="11780.72"/>
    <n v="11780.72"/>
    <n v="11897.8"/>
    <n v="11897.8"/>
    <n v="12010.39"/>
    <n v="12010.39"/>
    <n v="12124.04"/>
    <n v="12124.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5C67D0-581E-3243-8C78-43DC813E4A06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 ">
  <location ref="A3:D8" firstHeaderRow="0" firstDataRow="1" firstDataCol="1"/>
  <pivotFields count="30">
    <pivotField axis="axisRow" dataField="1" showAll="0">
      <items count="6">
        <item sd="0" x="3"/>
        <item sd="0" x="1"/>
        <item m="1" x="4"/>
        <item sd="0" x="2"/>
        <item sd="0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</pivotFields>
  <rowFields count="1">
    <field x="0"/>
  </rowFields>
  <rowItems count="5">
    <i>
      <x/>
    </i>
    <i>
      <x v="1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No. Aplicações" fld="0" subtotal="count" baseField="0" baseItem="0"/>
    <dataField name="Somme de DEZEMBRO BRUTO" fld="28" baseField="0" baseItem="0"/>
    <dataField name="Somme de DEZEMBRO LÍQUIDO" fld="29" baseField="0" baseItem="0"/>
  </dataFields>
  <formats count="27">
    <format dxfId="123">
      <pivotArea field="0" type="button" dataOnly="0" labelOnly="1" outline="0" axis="axisRow" fieldPosition="0"/>
    </format>
    <format dxfId="1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">
      <pivotArea field="0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9">
      <pivotArea field="0" type="button" dataOnly="0" labelOnly="1" outline="0" axis="axisRow" fieldPosition="0"/>
    </format>
    <format dxfId="1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7">
      <pivotArea field="0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">
      <pivotArea dataOnly="0" fieldPosition="0">
        <references count="1">
          <reference field="0" count="0"/>
        </references>
      </pivotArea>
    </format>
    <format dxfId="114">
      <pivotArea collapsedLevelsAreSubtotals="1" fieldPosition="0">
        <references count="1">
          <reference field="0" count="0"/>
        </references>
      </pivotArea>
    </format>
    <format dxfId="113">
      <pivotArea dataOnly="0" labelOnly="1" fieldPosition="0">
        <references count="1">
          <reference field="0" count="0"/>
        </references>
      </pivotArea>
    </format>
    <format dxfId="112">
      <pivotArea collapsedLevelsAreSubtotals="1" fieldPosition="0">
        <references count="1">
          <reference field="0" count="0"/>
        </references>
      </pivotArea>
    </format>
    <format dxfId="111">
      <pivotArea field="0" type="button" dataOnly="0" labelOnly="1" outline="0" axis="axisRow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field="0" type="button" dataOnly="0" labelOnly="1" outline="0" axis="axisRow" fieldPosition="0"/>
    </format>
    <format dxfId="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0" type="button" dataOnly="0" labelOnly="1" outline="0" axis="axisRow" fieldPosition="0"/>
    </format>
    <format dxfId="104">
      <pivotArea dataOnly="0" labelOnly="1" fieldPosition="0">
        <references count="1">
          <reference field="0" count="0"/>
        </references>
      </pivotArea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">
      <pivotArea collapsedLevelsAreSubtotals="1" fieldPosition="0">
        <references count="1">
          <reference field="0" count="0"/>
        </references>
      </pivotArea>
    </format>
    <format dxfId="100">
      <pivotArea dataOnly="0" labelOnly="1" fieldPosition="0">
        <references count="1">
          <reference field="0" count="0"/>
        </references>
      </pivotArea>
    </format>
    <format dxfId="99">
      <pivotArea collapsedLevelsAreSubtotals="1" fieldPosition="0">
        <references count="1">
          <reference field="0" count="0"/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232E66-79DB-6E4D-8543-298466927C73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MODALIDADES">
  <location ref="A3:E14" firstHeaderRow="0" firstDataRow="1" firstDataCol="1"/>
  <pivotFields count="30">
    <pivotField showAll="0"/>
    <pivotField axis="axisRow" showAll="0">
      <items count="16">
        <item sd="0" x="2"/>
        <item sd="0" x="4"/>
        <item m="1" x="14"/>
        <item m="1" x="10"/>
        <item m="1" x="13"/>
        <item sd="0" x="8"/>
        <item x="9"/>
        <item sd="0" x="3"/>
        <item x="0"/>
        <item sd="0" x="7"/>
        <item x="1"/>
        <item m="1" x="12"/>
        <item sd="0" m="1" x="11"/>
        <item sd="0" x="5"/>
        <item sd="0"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1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omme de NOVEMBRO BRUTO" fld="26" baseField="0" baseItem="0"/>
    <dataField name="Somme de NOVEMBRO LÍQUIDO" fld="27" baseField="0" baseItem="0"/>
    <dataField name="Somme de DEZEMBRO BRUTO" fld="28" baseField="0" baseItem="0"/>
    <dataField name="Somme de DEZEMBRO LÍQUIDO" fld="29" baseField="0" baseItem="0"/>
  </dataFields>
  <formats count="17">
    <format dxfId="96">
      <pivotArea field="1" type="button" dataOnly="0" labelOnly="1" outline="0" axis="axisRow" fieldPosition="0"/>
    </format>
    <format dxfId="95">
      <pivotArea field="1" type="button" dataOnly="0" labelOnly="1" outline="0" axis="axisRow" fieldPosition="0"/>
    </format>
    <format dxfId="94">
      <pivotArea dataOnly="0" labelOnly="1" fieldPosition="0">
        <references count="1">
          <reference field="1" count="0"/>
        </references>
      </pivotArea>
    </format>
    <format dxfId="93">
      <pivotArea dataOnly="0" labelOnly="1" fieldPosition="0">
        <references count="1">
          <reference field="1" count="0"/>
        </references>
      </pivotArea>
    </format>
    <format dxfId="92">
      <pivotArea field="1" type="button" dataOnly="0" labelOnly="1" outline="0" axis="axisRow" fieldPosition="0"/>
    </format>
    <format dxfId="91">
      <pivotArea type="all" dataOnly="0" outline="0" fieldPosition="0"/>
    </format>
    <format dxfId="90">
      <pivotArea outline="0" collapsedLevelsAreSubtotals="1" fieldPosition="0"/>
    </format>
    <format dxfId="89">
      <pivotArea field="1" type="button" dataOnly="0" labelOnly="1" outline="0" axis="axisRow" fieldPosition="0"/>
    </format>
    <format dxfId="88">
      <pivotArea dataOnly="0" labelOnly="1" fieldPosition="0">
        <references count="1">
          <reference field="1" count="0"/>
        </references>
      </pivotArea>
    </format>
    <format dxfId="87">
      <pivotArea dataOnly="0" labelOnly="1" grandRow="1" outline="0" fieldPosition="0"/>
    </format>
    <format dxfId="86">
      <pivotArea field="1" type="button" dataOnly="0" labelOnly="1" outline="0" axis="axisRow" fieldPosition="0"/>
    </format>
    <format dxfId="85">
      <pivotArea field="1" type="button" dataOnly="0" labelOnly="1" outline="0" axis="axisRow" fieldPosition="0"/>
    </format>
    <format dxfId="84">
      <pivotArea outline="0" collapsedLevelsAreSubtotals="1" fieldPosition="0"/>
    </format>
    <format dxfId="83">
      <pivotArea collapsedLevelsAreSubtotals="1" fieldPosition="0">
        <references count="1">
          <reference field="1" count="0"/>
        </references>
      </pivotArea>
    </format>
    <format dxfId="82">
      <pivotArea dataOnly="0" labelOnly="1" fieldPosition="0">
        <references count="1">
          <reference field="1" count="0"/>
        </references>
      </pivotArea>
    </format>
    <format dxfId="81">
      <pivotArea field="1" type="button" dataOnly="0" labelOnly="1" outline="0" axis="axisRow" fieldPosition="0"/>
    </format>
    <format dxfId="80">
      <pivotArea field="1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DECD5A-E690-4440-8231-FAB800D3824F}" name="VENCIMENTOS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A46" firstHeaderRow="1" firstDataRow="1" firstDataCol="1"/>
  <pivotFields count="30">
    <pivotField showAll="0"/>
    <pivotField showAll="0"/>
    <pivotField showAll="0"/>
    <pivotField showAll="0"/>
    <pivotField axis="axisRow" showAll="0" sortType="ascending">
      <items count="74">
        <item x="11"/>
        <item m="1" x="47"/>
        <item m="1" x="48"/>
        <item m="1" x="52"/>
        <item m="1" x="53"/>
        <item m="1" x="67"/>
        <item m="1" x="69"/>
        <item m="1" x="68"/>
        <item m="1" x="64"/>
        <item m="1" x="66"/>
        <item m="1" x="59"/>
        <item m="1" x="58"/>
        <item m="1" x="63"/>
        <item m="1" x="56"/>
        <item m="1" x="60"/>
        <item m="1" x="57"/>
        <item m="1" x="65"/>
        <item m="1" x="61"/>
        <item m="1" x="62"/>
        <item m="1" x="44"/>
        <item m="1" x="71"/>
        <item x="32"/>
        <item x="33"/>
        <item x="3"/>
        <item m="1" x="51"/>
        <item x="4"/>
        <item x="34"/>
        <item m="1" x="54"/>
        <item x="28"/>
        <item x="40"/>
        <item m="1" x="55"/>
        <item m="1" x="42"/>
        <item x="12"/>
        <item x="13"/>
        <item m="1" x="49"/>
        <item x="29"/>
        <item x="24"/>
        <item x="39"/>
        <item m="1" x="43"/>
        <item m="1" x="72"/>
        <item x="5"/>
        <item x="14"/>
        <item x="35"/>
        <item x="15"/>
        <item x="6"/>
        <item x="41"/>
        <item x="36"/>
        <item x="37"/>
        <item x="16"/>
        <item m="1" x="50"/>
        <item x="7"/>
        <item x="31"/>
        <item x="38"/>
        <item x="17"/>
        <item x="8"/>
        <item x="18"/>
        <item x="19"/>
        <item x="25"/>
        <item x="20"/>
        <item x="23"/>
        <item m="1" x="45"/>
        <item x="9"/>
        <item x="21"/>
        <item x="22"/>
        <item x="10"/>
        <item x="26"/>
        <item m="1" x="70"/>
        <item x="27"/>
        <item x="30"/>
        <item x="0"/>
        <item x="2"/>
        <item x="1"/>
        <item m="1" x="4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3">
    <i>
      <x/>
    </i>
    <i>
      <x v="21"/>
    </i>
    <i>
      <x v="22"/>
    </i>
    <i>
      <x v="23"/>
    </i>
    <i>
      <x v="25"/>
    </i>
    <i>
      <x v="26"/>
    </i>
    <i>
      <x v="28"/>
    </i>
    <i>
      <x v="29"/>
    </i>
    <i>
      <x v="32"/>
    </i>
    <i>
      <x v="33"/>
    </i>
    <i>
      <x v="35"/>
    </i>
    <i>
      <x v="36"/>
    </i>
    <i>
      <x v="37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1"/>
    </i>
    <i>
      <x v="62"/>
    </i>
    <i>
      <x v="63"/>
    </i>
    <i>
      <x v="64"/>
    </i>
    <i>
      <x v="65"/>
    </i>
    <i>
      <x v="67"/>
    </i>
    <i>
      <x v="68"/>
    </i>
    <i>
      <x v="69"/>
    </i>
    <i>
      <x v="70"/>
    </i>
    <i>
      <x v="71"/>
    </i>
    <i t="grand">
      <x/>
    </i>
  </rowItems>
  <colItems count="1">
    <i/>
  </colItems>
  <formats count="23">
    <format dxfId="79">
      <pivotArea grandRow="1" outline="0" collapsedLevelsAreSubtotals="1" fieldPosition="0"/>
    </format>
    <format dxfId="78">
      <pivotArea collapsedLevelsAreSubtotals="1" fieldPosition="0">
        <references count="1">
          <reference field="4" count="0"/>
        </references>
      </pivotArea>
    </format>
    <format dxfId="77">
      <pivotArea dataOnly="0" labelOnly="1" fieldPosition="0">
        <references count="1">
          <reference field="4" count="31">
            <x v="20"/>
            <x v="22"/>
            <x v="23"/>
            <x v="24"/>
            <x v="25"/>
            <x v="26"/>
            <x v="29"/>
            <x v="32"/>
            <x v="39"/>
            <x v="40"/>
            <x v="41"/>
            <x v="43"/>
            <x v="44"/>
            <x v="45"/>
            <x v="46"/>
            <x v="48"/>
            <x v="49"/>
            <x v="50"/>
            <x v="52"/>
            <x v="53"/>
            <x v="55"/>
            <x v="56"/>
            <x v="57"/>
            <x v="58"/>
            <x v="60"/>
            <x v="62"/>
            <x v="63"/>
            <x v="64"/>
            <x v="66"/>
            <x v="67"/>
            <x v="68"/>
          </reference>
        </references>
      </pivotArea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4" type="button" dataOnly="0" labelOnly="1" outline="0" axis="axisRow" fieldPosition="0"/>
    </format>
    <format dxfId="73">
      <pivotArea dataOnly="0" labelOnly="1" fieldPosition="0">
        <references count="1">
          <reference field="4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  <format dxfId="70">
      <pivotArea dataOnly="0" labelOnly="1" fieldPosition="0">
        <references count="1">
          <reference field="4" count="1">
            <x v="61"/>
          </reference>
        </references>
      </pivotArea>
    </format>
    <format dxfId="69">
      <pivotArea dataOnly="0" labelOnly="1" fieldPosition="0">
        <references count="1">
          <reference field="4" count="1">
            <x v="34"/>
          </reference>
        </references>
      </pivotArea>
    </format>
    <format dxfId="68">
      <pivotArea dataOnly="0" labelOnly="1" fieldPosition="0">
        <references count="1">
          <reference field="4" count="1">
            <x v="42"/>
          </reference>
        </references>
      </pivotArea>
    </format>
    <format dxfId="67">
      <pivotArea type="all" dataOnly="0" outline="0" fieldPosition="0"/>
    </format>
    <format dxfId="66">
      <pivotArea outline="0" collapsedLevelsAreSubtotals="1" fieldPosition="0"/>
    </format>
    <format dxfId="65">
      <pivotArea field="4" type="button" dataOnly="0" labelOnly="1" outline="0" axis="axisRow" fieldPosition="0"/>
    </format>
    <format dxfId="64">
      <pivotArea dataOnly="0" labelOnly="1" fieldPosition="0">
        <references count="1">
          <reference field="4" count="0"/>
        </references>
      </pivotArea>
    </format>
    <format dxfId="63">
      <pivotArea dataOnly="0" labelOnly="1" grandRow="1" outline="0" fieldPosition="0"/>
    </format>
    <format dxfId="62">
      <pivotArea dataOnly="0" labelOnly="1" outline="0" axis="axisValues" fieldPosition="0"/>
    </format>
    <format dxfId="61">
      <pivotArea dataOnly="0" labelOnly="1" fieldPosition="0">
        <references count="1">
          <reference field="4" count="0"/>
        </references>
      </pivotArea>
    </format>
    <format dxfId="60">
      <pivotArea type="all" dataOnly="0" outline="0" fieldPosition="0"/>
    </format>
    <format dxfId="59">
      <pivotArea field="4" type="button" dataOnly="0" labelOnly="1" outline="0" axis="axisRow" fieldPosition="0"/>
    </format>
    <format dxfId="58">
      <pivotArea dataOnly="0" labelOnly="1" fieldPosition="0">
        <references count="1">
          <reference field="4" count="0"/>
        </references>
      </pivotArea>
    </format>
    <format dxfId="57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FC6DD72-CCF8-5C48-AAD2-04CE7A675390}" name="ValoresMensais" displayName="ValoresMensais" ref="A1:AD41" totalsRowShown="0" headerRowDxfId="158" dataDxfId="156" headerRowBorderDxfId="157" tableBorderDxfId="155" totalsRowBorderDxfId="154">
  <autoFilter ref="A1:AD41" xr:uid="{BFC6DD72-CCF8-5C48-AAD2-04CE7A675390}">
    <filterColumn colId="1">
      <filters>
        <filter val="CRA"/>
      </filters>
    </filterColumn>
  </autoFilter>
  <sortState xmlns:xlrd2="http://schemas.microsoft.com/office/spreadsheetml/2017/richdata2" ref="A35:AD39">
    <sortCondition ref="E1:E41"/>
  </sortState>
  <tableColumns count="30">
    <tableColumn id="1" xr3:uid="{7C0983EA-4E26-8F47-86AB-6E82719C7615}" name="MERCADO" dataDxfId="153"/>
    <tableColumn id="2" xr3:uid="{BD863012-CDEB-A042-8CE0-FA02AEE69E6D}" name="MODALIDADE" dataDxfId="152"/>
    <tableColumn id="3" xr3:uid="{DD908B9B-1398-3140-933B-E13CFC86B38F}" name="DESCRICAO" dataDxfId="151"/>
    <tableColumn id="11" xr3:uid="{8D3896F2-1AC3-0647-97FE-075BE55B8BB2}" name="DATA COMPRA" dataDxfId="150"/>
    <tableColumn id="10" xr3:uid="{6D7D785B-1956-3846-91E9-D23E1A2B7522}" name="DATA VENCIMENTO" dataDxfId="149"/>
    <tableColumn id="4" xr3:uid="{9D2F047C-22FF-AD4D-8DBA-6DAD5376BB72}" name="CAPITAL INICIAL  INVESTIDO" dataDxfId="148"/>
    <tableColumn id="30" xr3:uid="{30C13FD1-A9FD-4162-A50B-0C9CF5440168}" name="JANEIRO BRUTO" dataDxfId="147"/>
    <tableColumn id="29" xr3:uid="{1EFFFF98-906E-4D06-9D52-22260E05BF7E}" name="JANEIRO LIQUIDO" dataDxfId="146"/>
    <tableColumn id="28" xr3:uid="{ED59620A-8CAA-4434-95A1-B824C7C1F80D}" name="FEVEREIRO BRUTO" dataDxfId="145"/>
    <tableColumn id="27" xr3:uid="{9BCAFB55-B9D9-43DE-9B9D-38F9C7381CC0}" name="FEVEREIRO LIQUIDO" dataDxfId="144"/>
    <tableColumn id="26" xr3:uid="{FD47B3BB-D625-4B63-8B8C-2274E718F4F3}" name="MARCO BRUTO" dataDxfId="143"/>
    <tableColumn id="25" xr3:uid="{120AAC4D-4A3B-4895-9725-028BE3299A5A}" name="MARCO LIQUIDO" dataDxfId="142"/>
    <tableColumn id="24" xr3:uid="{F52D402C-65DC-4F23-8D16-BE814430503D}" name="ABRIL BRUTO" dataDxfId="141"/>
    <tableColumn id="23" xr3:uid="{67CB76DC-CC6D-476B-BDCB-11845FE56D1D}" name="ABRIL LIQUIDO" dataDxfId="140"/>
    <tableColumn id="5" xr3:uid="{2AA2A05F-D059-1D46-BAB1-2D2B8A552D2A}" name="MAIO BRUTO" dataDxfId="139"/>
    <tableColumn id="6" xr3:uid="{CC4BD9B7-AE96-B247-A3A8-903FB594E05B}" name="MAIO LIQUIDO" dataDxfId="138"/>
    <tableColumn id="7" xr3:uid="{39876563-DE2F-7E4E-8428-A894CD96CD63}" name="JUNHO BRUTO" dataDxfId="137"/>
    <tableColumn id="8" xr3:uid="{50BEA982-8147-5244-8212-6A544DD55335}" name="JUNHO LIQUIDO" dataDxfId="136"/>
    <tableColumn id="13" xr3:uid="{F6A10A9A-D4D3-A548-81DC-D25288922457}" name="JULHO BRUTO" dataDxfId="135"/>
    <tableColumn id="12" xr3:uid="{5810FBCD-F19A-E041-9F23-DC0CC5984B84}" name="JULHO LIQUIDO" dataDxfId="134"/>
    <tableColumn id="14" xr3:uid="{7868A6CC-3B13-4F4D-8444-A4390D825AF6}" name="AGOSTO BRUTO" dataDxfId="133"/>
    <tableColumn id="9" xr3:uid="{C752CD2D-9356-8C48-8E88-F8B184A5AAFF}" name="AGOSTO LIQUIDO" dataDxfId="132"/>
    <tableColumn id="15" xr3:uid="{7D30BAAD-CBB6-5346-AE9A-05E489DC061F}" name="SETEMBRO BRUTO" dataDxfId="131"/>
    <tableColumn id="16" xr3:uid="{618E244D-28AB-A947-BBA2-6B75464902C3}" name="SETEMBRO LIQUIDO" dataDxfId="130"/>
    <tableColumn id="17" xr3:uid="{4CC5507A-0BD8-EF4C-BB01-B7F30D123417}" name="OUTUBRO BRUTO" dataDxfId="129"/>
    <tableColumn id="18" xr3:uid="{241E4E74-C57A-594B-BF53-84BA470B118E}" name="OUTUBRO LIQUIDO" dataDxfId="128"/>
    <tableColumn id="19" xr3:uid="{AABDD7C3-6975-4B4C-88EA-957A670527BB}" name="NOVEMBRO BRUTO" dataDxfId="127"/>
    <tableColumn id="20" xr3:uid="{17E56541-9E2E-9541-B836-B0348A9ED38F}" name="NOVEMBRO LIQUIDO" dataDxfId="126"/>
    <tableColumn id="21" xr3:uid="{4DE7175B-5E7B-2449-A445-DE6FD00EF324}" name="DEZEMBRO BRUTO" dataDxfId="125"/>
    <tableColumn id="22" xr3:uid="{BDD8A1DB-C41C-3047-8127-C1A00C1864EC}" name="DEZEMBRO LIQUIDO" dataDxfId="12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96A8021-76FA-4049-8221-556ED0A5D23C}" name="NotasCorretagem" displayName="NotasCorretagem" ref="A1:N21" headerRowDxfId="56" dataDxfId="54" totalsRowDxfId="52" headerRowBorderDxfId="55" tableBorderDxfId="53" headerRowCellStyle="Normal 2" dataCellStyle="Normal 2">
  <autoFilter ref="A1:N21" xr:uid="{996A8021-76FA-4049-8221-556ED0A5D23C}"/>
  <tableColumns count="14">
    <tableColumn id="1" xr3:uid="{EA4F0515-2BC7-0241-8B9A-06A6E69D272F}" name="DESCRICAO" totalsRowLabel="Total" dataDxfId="51"/>
    <tableColumn id="2" xr3:uid="{08935CE2-5C16-D942-B91F-21A082D7FBC2}" name="Janeiro" dataDxfId="50" totalsRowDxfId="49" dataCellStyle="Normal 2"/>
    <tableColumn id="3" xr3:uid="{F2D0792E-60FB-484E-9F30-193F42353AC5}" name="Fevereiro" dataDxfId="48" totalsRowDxfId="47" dataCellStyle="Normal 2"/>
    <tableColumn id="4" xr3:uid="{709DB455-0532-0941-92DA-20812E64CEA0}" name="Março" dataDxfId="46" totalsRowDxfId="45" dataCellStyle="Normal 2"/>
    <tableColumn id="5" xr3:uid="{C196ECAB-41A7-584D-A23A-B65B0AD177B7}" name="Abril" dataDxfId="44" totalsRowDxfId="43" dataCellStyle="Normal 2"/>
    <tableColumn id="6" xr3:uid="{F4F4A29E-CA65-BF4A-8993-917BF2BF0015}" name="Maio" dataDxfId="42" totalsRowDxfId="41" dataCellStyle="Normal 2"/>
    <tableColumn id="7" xr3:uid="{A86E5576-11B8-C340-B51A-21CB47CB0B5E}" name="Junho" dataDxfId="40" totalsRowDxfId="39" dataCellStyle="Normal 2"/>
    <tableColumn id="8" xr3:uid="{BF01C605-6B10-DA4A-9E66-C841A48012DC}" name="Julho" dataDxfId="38" totalsRowDxfId="37" dataCellStyle="Normal 2"/>
    <tableColumn id="9" xr3:uid="{0C45F60A-606D-DF44-B687-CF1A72EA8F19}" name="Agosto" dataDxfId="36" totalsRowDxfId="35" dataCellStyle="Normal 2"/>
    <tableColumn id="10" xr3:uid="{C10245F3-5804-1549-A6EF-786C2D6904EF}" name="Setembro" dataDxfId="34" totalsRowDxfId="33" dataCellStyle="Normal 2"/>
    <tableColumn id="11" xr3:uid="{BB77CFE9-7C6E-E848-87B2-39244C2BDCC7}" name="Outubro" dataDxfId="32" totalsRowDxfId="31" dataCellStyle="Normal 2"/>
    <tableColumn id="12" xr3:uid="{5D4537A5-640E-D345-8C22-8580A565D2C6}" name="Novembro" dataDxfId="30" totalsRowDxfId="29" dataCellStyle="Normal 2"/>
    <tableColumn id="13" xr3:uid="{0E233064-E6C6-BF4F-9220-BF2F7C7BDD81}" name="Dezembro" totalsRowFunction="count" dataDxfId="28" totalsRowDxfId="27" dataCellStyle="Normal 2"/>
    <tableColumn id="14" xr3:uid="{9C476573-C4AE-F149-BC16-C8DD334B709E}" name="TOTAL" dataDxfId="26" totalsRowDxfId="25" dataCellStyle="Normal 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5">
      <a:dk1>
        <a:sysClr val="windowText" lastClr="000000"/>
      </a:dk1>
      <a:lt1>
        <a:srgbClr val="FFFFFF"/>
      </a:lt1>
      <a:dk2>
        <a:srgbClr val="2F4B83"/>
      </a:dk2>
      <a:lt2>
        <a:srgbClr val="F2F2F2"/>
      </a:lt2>
      <a:accent1>
        <a:srgbClr val="CC1D10"/>
      </a:accent1>
      <a:accent2>
        <a:srgbClr val="357B37"/>
      </a:accent2>
      <a:accent3>
        <a:srgbClr val="34A0DC"/>
      </a:accent3>
      <a:accent4>
        <a:srgbClr val="B71F66"/>
      </a:accent4>
      <a:accent5>
        <a:srgbClr val="255D77"/>
      </a:accent5>
      <a:accent6>
        <a:srgbClr val="EF4538"/>
      </a:accent6>
      <a:hlink>
        <a:srgbClr val="7DC6F3"/>
      </a:hlink>
      <a:folHlink>
        <a:srgbClr val="7DC6F3"/>
      </a:folHlink>
    </a:clrScheme>
    <a:fontScheme name="Custom 18">
      <a:majorFont>
        <a:latin typeface="Franklin Gothic Book"/>
        <a:ea typeface=""/>
        <a:cs typeface=""/>
      </a:majorFont>
      <a:minorFont>
        <a:latin typeface="Microsoft Sans Serif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" dT="2024-01-04T15:19:16.19" personId="{BF003B54-299B-4033-BAF1-31E8905B49C3}" id="{605C0489-814A-46BB-A232-52CDF5985DA5}">
    <text>MÉDIA DOS SALDOS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externalLinkPath" Target="/Users/ridimarcar/Library/CloudStorage/OneDrive-Personnel/FINANCE/Financas%20Contabilidade/INVESTIMENTOS%202023.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dimarcar/Library/CloudStorage/OneDrive-Personnel/FINANCE/Financas%20Contabilidade/INVESTIMENTOS%202023.xlsx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idimarcar/Library/CloudStorage/OneDrive-Personnel/FINANCE/Financas%20Contabilidade/INVESTIMENTOS%202023.xls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D60B0-8A29-C341-AC70-74BFFF786124}">
  <sheetPr codeName="Feuil1">
    <tabColor theme="7"/>
  </sheetPr>
  <dimension ref="A1:AF82"/>
  <sheetViews>
    <sheetView tabSelected="1" zoomScale="148" zoomScaleNormal="148" workbookViewId="0">
      <pane xSplit="3" ySplit="1" topLeftCell="E25" activePane="bottomRight" state="frozen"/>
      <selection pane="topRight" activeCell="D1" sqref="D1"/>
      <selection pane="bottomLeft" activeCell="A2" sqref="A2"/>
      <selection pane="bottomRight" activeCell="C26" sqref="C26"/>
    </sheetView>
  </sheetViews>
  <sheetFormatPr baseColWidth="10" defaultColWidth="11.3828125" defaultRowHeight="11.65" x14ac:dyDescent="0.35"/>
  <cols>
    <col min="1" max="1" width="41.84375" customWidth="1"/>
    <col min="2" max="2" width="37" customWidth="1"/>
    <col min="3" max="3" width="63.3046875" customWidth="1"/>
    <col min="4" max="4" width="18" customWidth="1"/>
    <col min="5" max="5" width="24.84375" bestFit="1" customWidth="1"/>
    <col min="6" max="30" width="18.69140625" customWidth="1"/>
  </cols>
  <sheetData>
    <row r="1" spans="1:32" ht="51.75" x14ac:dyDescent="0.35">
      <c r="A1" s="129" t="s">
        <v>101</v>
      </c>
      <c r="B1" s="130" t="s">
        <v>102</v>
      </c>
      <c r="C1" s="130" t="s">
        <v>325</v>
      </c>
      <c r="D1" s="130" t="s">
        <v>138</v>
      </c>
      <c r="E1" s="130" t="s">
        <v>139</v>
      </c>
      <c r="F1" s="130" t="s">
        <v>195</v>
      </c>
      <c r="G1" s="130" t="s">
        <v>91</v>
      </c>
      <c r="H1" s="130" t="s">
        <v>311</v>
      </c>
      <c r="I1" s="130" t="s">
        <v>103</v>
      </c>
      <c r="J1" s="130" t="s">
        <v>312</v>
      </c>
      <c r="K1" s="130" t="s">
        <v>322</v>
      </c>
      <c r="L1" s="130" t="s">
        <v>323</v>
      </c>
      <c r="M1" s="130" t="s">
        <v>104</v>
      </c>
      <c r="N1" s="130" t="s">
        <v>313</v>
      </c>
      <c r="O1" s="131" t="s">
        <v>93</v>
      </c>
      <c r="P1" s="131" t="s">
        <v>314</v>
      </c>
      <c r="Q1" s="131" t="s">
        <v>92</v>
      </c>
      <c r="R1" s="131" t="s">
        <v>315</v>
      </c>
      <c r="S1" s="131" t="s">
        <v>74</v>
      </c>
      <c r="T1" s="131" t="s">
        <v>316</v>
      </c>
      <c r="U1" s="131" t="s">
        <v>89</v>
      </c>
      <c r="V1" s="131" t="s">
        <v>317</v>
      </c>
      <c r="W1" s="131" t="s">
        <v>98</v>
      </c>
      <c r="X1" s="131" t="s">
        <v>318</v>
      </c>
      <c r="Y1" s="131" t="s">
        <v>99</v>
      </c>
      <c r="Z1" s="131" t="s">
        <v>319</v>
      </c>
      <c r="AA1" s="131" t="s">
        <v>100</v>
      </c>
      <c r="AB1" s="131" t="s">
        <v>320</v>
      </c>
      <c r="AC1" s="131" t="s">
        <v>90</v>
      </c>
      <c r="AD1" s="132" t="s">
        <v>321</v>
      </c>
    </row>
    <row r="2" spans="1:32" ht="20.100000000000001" hidden="1" customHeight="1" x14ac:dyDescent="0.35">
      <c r="A2" s="139" t="s">
        <v>95</v>
      </c>
      <c r="B2" s="96" t="s">
        <v>324</v>
      </c>
      <c r="C2" s="172" t="s">
        <v>196</v>
      </c>
      <c r="D2" s="173">
        <v>44330</v>
      </c>
      <c r="E2" s="167">
        <v>48352</v>
      </c>
      <c r="F2" s="169">
        <v>3995.28</v>
      </c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  <c r="AA2" s="169"/>
      <c r="AB2" s="169"/>
      <c r="AC2" s="169"/>
      <c r="AD2" s="170"/>
    </row>
    <row r="3" spans="1:32" ht="20.100000000000001" hidden="1" customHeight="1" x14ac:dyDescent="0.35">
      <c r="A3" s="139" t="s">
        <v>95</v>
      </c>
      <c r="B3" s="96" t="s">
        <v>324</v>
      </c>
      <c r="C3" s="172" t="s">
        <v>11</v>
      </c>
      <c r="D3" s="173">
        <v>44439</v>
      </c>
      <c r="E3" s="167">
        <v>48354</v>
      </c>
      <c r="F3" s="169">
        <v>11429</v>
      </c>
      <c r="G3" s="154"/>
      <c r="H3" s="154"/>
      <c r="I3" s="154"/>
      <c r="J3" s="154"/>
      <c r="K3" s="154"/>
      <c r="L3" s="154"/>
      <c r="M3" s="154"/>
      <c r="N3" s="154"/>
      <c r="O3" s="169"/>
      <c r="P3" s="169"/>
      <c r="Q3" s="169"/>
      <c r="R3" s="169"/>
      <c r="S3" s="169"/>
      <c r="T3" s="169"/>
      <c r="U3" s="169"/>
      <c r="V3" s="169"/>
      <c r="W3" s="169"/>
      <c r="X3" s="169"/>
      <c r="Y3" s="169"/>
      <c r="Z3" s="169"/>
      <c r="AA3" s="169"/>
      <c r="AB3" s="169"/>
      <c r="AC3" s="169"/>
      <c r="AD3" s="170"/>
    </row>
    <row r="4" spans="1:32" ht="20.100000000000001" hidden="1" customHeight="1" x14ac:dyDescent="0.35">
      <c r="A4" s="133" t="s">
        <v>95</v>
      </c>
      <c r="B4" s="90" t="s">
        <v>121</v>
      </c>
      <c r="C4" s="174" t="s">
        <v>302</v>
      </c>
      <c r="D4" s="171">
        <v>44417</v>
      </c>
      <c r="E4" s="167">
        <v>48353</v>
      </c>
      <c r="F4" s="137">
        <v>25087.57</v>
      </c>
      <c r="G4" s="137">
        <v>1000</v>
      </c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7"/>
      <c r="V4" s="137"/>
      <c r="W4" s="137"/>
      <c r="X4" s="137"/>
      <c r="Y4" s="137"/>
      <c r="Z4" s="137"/>
      <c r="AA4" s="137"/>
      <c r="AB4" s="137"/>
      <c r="AC4" s="137"/>
      <c r="AD4" s="138"/>
    </row>
    <row r="5" spans="1:32" ht="20.100000000000001" hidden="1" customHeight="1" x14ac:dyDescent="0.35">
      <c r="A5" s="276" t="s">
        <v>94</v>
      </c>
      <c r="B5" s="277" t="s">
        <v>3</v>
      </c>
      <c r="C5" s="278" t="s">
        <v>220</v>
      </c>
      <c r="D5" s="135">
        <v>44636</v>
      </c>
      <c r="E5" s="135">
        <v>45001</v>
      </c>
      <c r="F5" s="136">
        <v>30000</v>
      </c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</row>
    <row r="6" spans="1:32" ht="20.100000000000001" hidden="1" customHeight="1" x14ac:dyDescent="0.35">
      <c r="A6" s="279" t="s">
        <v>94</v>
      </c>
      <c r="B6" s="280" t="s">
        <v>3</v>
      </c>
      <c r="C6" s="281" t="s">
        <v>217</v>
      </c>
      <c r="D6" s="179">
        <v>44643</v>
      </c>
      <c r="E6" s="179">
        <v>45008</v>
      </c>
      <c r="F6" s="180">
        <v>10000</v>
      </c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</row>
    <row r="7" spans="1:32" ht="20.100000000000001" hidden="1" customHeight="1" x14ac:dyDescent="0.35">
      <c r="A7" s="276" t="s">
        <v>94</v>
      </c>
      <c r="B7" s="277" t="s">
        <v>3</v>
      </c>
      <c r="C7" s="278" t="s">
        <v>303</v>
      </c>
      <c r="D7" s="179">
        <v>44641</v>
      </c>
      <c r="E7" s="179">
        <v>45372</v>
      </c>
      <c r="F7" s="180">
        <v>10000</v>
      </c>
      <c r="G7" s="177"/>
      <c r="H7" s="177"/>
      <c r="I7" s="177"/>
      <c r="J7" s="177"/>
      <c r="K7" s="177"/>
      <c r="L7" s="177"/>
      <c r="M7" s="177"/>
      <c r="N7" s="177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37"/>
      <c r="Z7" s="137"/>
      <c r="AA7" s="137"/>
      <c r="AB7" s="137"/>
      <c r="AC7" s="137"/>
      <c r="AD7" s="138"/>
    </row>
    <row r="8" spans="1:32" ht="20.100000000000001" hidden="1" customHeight="1" x14ac:dyDescent="0.35">
      <c r="A8" s="282" t="s">
        <v>94</v>
      </c>
      <c r="B8" s="283" t="s">
        <v>3</v>
      </c>
      <c r="C8" s="284" t="s">
        <v>226</v>
      </c>
      <c r="D8" s="167">
        <v>44665</v>
      </c>
      <c r="E8" s="167">
        <v>45397</v>
      </c>
      <c r="F8" s="168">
        <v>11000</v>
      </c>
      <c r="G8" s="160"/>
      <c r="H8" s="160"/>
      <c r="I8" s="160"/>
      <c r="J8" s="160"/>
      <c r="K8" s="160"/>
      <c r="L8" s="160"/>
      <c r="M8" s="160"/>
      <c r="N8" s="160"/>
      <c r="O8" s="168"/>
      <c r="P8" s="168"/>
      <c r="Q8" s="168"/>
      <c r="R8" s="168"/>
      <c r="S8" s="168"/>
      <c r="T8" s="168"/>
      <c r="U8" s="168"/>
      <c r="V8" s="168"/>
      <c r="W8" s="168"/>
      <c r="X8" s="168"/>
      <c r="Y8" s="169"/>
      <c r="Z8" s="169"/>
      <c r="AA8" s="169"/>
      <c r="AB8" s="169"/>
      <c r="AC8" s="169"/>
      <c r="AD8" s="170"/>
    </row>
    <row r="9" spans="1:32" ht="20.100000000000001" hidden="1" customHeight="1" x14ac:dyDescent="0.35">
      <c r="A9" s="285" t="s">
        <v>94</v>
      </c>
      <c r="B9" s="286" t="s">
        <v>3</v>
      </c>
      <c r="C9" s="287" t="s">
        <v>225</v>
      </c>
      <c r="D9" s="176">
        <v>44449</v>
      </c>
      <c r="E9" s="176">
        <v>45545</v>
      </c>
      <c r="F9" s="177">
        <v>6000</v>
      </c>
      <c r="G9" s="177"/>
      <c r="H9" s="177"/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7"/>
      <c r="W9" s="177"/>
      <c r="X9" s="177"/>
      <c r="Y9" s="156"/>
      <c r="Z9" s="156"/>
      <c r="AA9" s="156"/>
      <c r="AB9" s="156"/>
      <c r="AC9" s="156"/>
      <c r="AD9" s="157"/>
    </row>
    <row r="10" spans="1:32" ht="20.100000000000001" hidden="1" customHeight="1" x14ac:dyDescent="0.35">
      <c r="A10" s="282" t="s">
        <v>94</v>
      </c>
      <c r="B10" s="283" t="s">
        <v>3</v>
      </c>
      <c r="C10" s="288" t="s">
        <v>287</v>
      </c>
      <c r="D10" s="178">
        <v>44887</v>
      </c>
      <c r="E10" s="178">
        <v>45618</v>
      </c>
      <c r="F10" s="143">
        <v>8000</v>
      </c>
      <c r="G10" s="153"/>
      <c r="H10" s="153"/>
      <c r="I10" s="153"/>
      <c r="J10" s="153"/>
      <c r="K10" s="153"/>
      <c r="L10" s="153"/>
      <c r="M10" s="153"/>
      <c r="N10" s="15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4"/>
    </row>
    <row r="11" spans="1:32" ht="20.100000000000001" hidden="1" customHeight="1" x14ac:dyDescent="0.35">
      <c r="A11" s="279" t="s">
        <v>94</v>
      </c>
      <c r="B11" s="280" t="s">
        <v>3</v>
      </c>
      <c r="C11" s="289" t="s">
        <v>282</v>
      </c>
      <c r="D11" s="171">
        <v>45015</v>
      </c>
      <c r="E11" s="171">
        <v>46111</v>
      </c>
      <c r="F11" s="137">
        <v>15000</v>
      </c>
      <c r="G11" s="156"/>
      <c r="H11" s="156"/>
      <c r="I11" s="156"/>
      <c r="J11" s="156"/>
      <c r="K11" s="156"/>
      <c r="L11" s="156"/>
      <c r="M11" s="156"/>
      <c r="N11" s="156"/>
      <c r="O11" s="137"/>
      <c r="P11" s="137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8"/>
    </row>
    <row r="12" spans="1:32" ht="20.100000000000001" hidden="1" customHeight="1" x14ac:dyDescent="0.35">
      <c r="A12" s="282" t="s">
        <v>94</v>
      </c>
      <c r="B12" s="283" t="s">
        <v>3</v>
      </c>
      <c r="C12" s="288" t="s">
        <v>219</v>
      </c>
      <c r="D12" s="167">
        <v>44650</v>
      </c>
      <c r="E12" s="167">
        <v>46476</v>
      </c>
      <c r="F12" s="168">
        <v>37000</v>
      </c>
      <c r="G12" s="160"/>
      <c r="H12" s="160"/>
      <c r="I12" s="160"/>
      <c r="J12" s="160"/>
      <c r="K12" s="160"/>
      <c r="L12" s="160"/>
      <c r="M12" s="160"/>
      <c r="N12" s="160"/>
      <c r="O12" s="168"/>
      <c r="P12" s="168"/>
      <c r="Q12" s="168"/>
      <c r="R12" s="168"/>
      <c r="S12" s="168"/>
      <c r="T12" s="168"/>
      <c r="U12" s="168"/>
      <c r="V12" s="168"/>
      <c r="W12" s="168"/>
      <c r="X12" s="168"/>
      <c r="Y12" s="169"/>
      <c r="Z12" s="169"/>
      <c r="AA12" s="169"/>
      <c r="AB12" s="169"/>
      <c r="AC12" s="169"/>
      <c r="AD12" s="170"/>
      <c r="AF12" s="27"/>
    </row>
    <row r="13" spans="1:32" ht="20.100000000000001" hidden="1" customHeight="1" x14ac:dyDescent="0.35">
      <c r="A13" s="282" t="s">
        <v>94</v>
      </c>
      <c r="B13" s="283" t="s">
        <v>3</v>
      </c>
      <c r="C13" s="288" t="s">
        <v>238</v>
      </c>
      <c r="D13" s="167">
        <v>44641</v>
      </c>
      <c r="E13" s="167" t="s">
        <v>286</v>
      </c>
      <c r="F13" s="168">
        <v>10000</v>
      </c>
      <c r="G13" s="160"/>
      <c r="H13" s="160"/>
      <c r="I13" s="160"/>
      <c r="J13" s="160"/>
      <c r="K13" s="160"/>
      <c r="L13" s="160"/>
      <c r="M13" s="160"/>
      <c r="N13" s="160"/>
      <c r="O13" s="168"/>
      <c r="P13" s="168"/>
      <c r="Q13" s="168"/>
      <c r="R13" s="168"/>
      <c r="S13" s="168"/>
      <c r="T13" s="168"/>
      <c r="U13" s="168"/>
      <c r="V13" s="168"/>
      <c r="W13" s="168"/>
      <c r="X13" s="168"/>
      <c r="Y13" s="169"/>
      <c r="Z13" s="169"/>
      <c r="AA13" s="169"/>
      <c r="AB13" s="169"/>
      <c r="AC13" s="169"/>
      <c r="AD13" s="170"/>
    </row>
    <row r="14" spans="1:32" ht="20.100000000000001" hidden="1" customHeight="1" x14ac:dyDescent="0.35">
      <c r="A14" s="150" t="s">
        <v>1</v>
      </c>
      <c r="B14" s="86" t="s">
        <v>1</v>
      </c>
      <c r="C14" s="164" t="s">
        <v>213</v>
      </c>
      <c r="D14" s="165">
        <v>44006</v>
      </c>
      <c r="E14" s="165">
        <v>45107</v>
      </c>
      <c r="F14" s="166">
        <v>10000</v>
      </c>
      <c r="G14" s="166"/>
      <c r="H14" s="166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4"/>
      <c r="Z14" s="154"/>
      <c r="AA14" s="154"/>
      <c r="AB14" s="154"/>
      <c r="AC14" s="154"/>
      <c r="AD14" s="155"/>
    </row>
    <row r="15" spans="1:32" ht="20.100000000000001" hidden="1" customHeight="1" x14ac:dyDescent="0.35">
      <c r="A15" s="150" t="s">
        <v>1</v>
      </c>
      <c r="B15" s="86" t="s">
        <v>1</v>
      </c>
      <c r="C15" s="158" t="s">
        <v>222</v>
      </c>
      <c r="D15" s="159">
        <v>44407</v>
      </c>
      <c r="E15" s="159">
        <v>45155</v>
      </c>
      <c r="F15" s="160">
        <v>10000</v>
      </c>
      <c r="G15" s="160"/>
      <c r="H15" s="160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</row>
    <row r="16" spans="1:32" ht="20.100000000000001" hidden="1" customHeight="1" x14ac:dyDescent="0.35">
      <c r="A16" s="139" t="s">
        <v>1</v>
      </c>
      <c r="B16" s="96" t="s">
        <v>1</v>
      </c>
      <c r="C16" s="140" t="s">
        <v>280</v>
      </c>
      <c r="D16" s="141">
        <v>44651</v>
      </c>
      <c r="E16" s="141">
        <v>45379</v>
      </c>
      <c r="F16" s="142">
        <v>6100</v>
      </c>
      <c r="G16" s="166"/>
      <c r="H16" s="166"/>
      <c r="I16" s="166"/>
      <c r="J16" s="166"/>
      <c r="K16" s="153"/>
      <c r="L16" s="153"/>
      <c r="M16" s="153"/>
      <c r="N16" s="15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69"/>
      <c r="Z16" s="169"/>
      <c r="AA16" s="169"/>
      <c r="AB16" s="169"/>
      <c r="AC16" s="169"/>
      <c r="AD16" s="170"/>
    </row>
    <row r="17" spans="1:30" ht="20.100000000000001" hidden="1" customHeight="1" x14ac:dyDescent="0.35">
      <c r="A17" s="133" t="s">
        <v>1</v>
      </c>
      <c r="B17" s="90" t="s">
        <v>1</v>
      </c>
      <c r="C17" s="134" t="s">
        <v>241</v>
      </c>
      <c r="D17" s="162">
        <v>44650</v>
      </c>
      <c r="E17" s="162">
        <v>45386</v>
      </c>
      <c r="F17" s="163">
        <v>9000</v>
      </c>
      <c r="G17" s="148"/>
      <c r="H17" s="148"/>
      <c r="I17" s="148"/>
      <c r="J17" s="148"/>
      <c r="K17" s="149"/>
      <c r="L17" s="149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7"/>
      <c r="Z17" s="137"/>
      <c r="AA17" s="137"/>
      <c r="AB17" s="137"/>
      <c r="AC17" s="137"/>
      <c r="AD17" s="138"/>
    </row>
    <row r="18" spans="1:30" ht="20.100000000000001" hidden="1" customHeight="1" x14ac:dyDescent="0.35">
      <c r="A18" s="145" t="s">
        <v>1</v>
      </c>
      <c r="B18" s="82" t="s">
        <v>1</v>
      </c>
      <c r="C18" s="175" t="s">
        <v>236</v>
      </c>
      <c r="D18" s="176">
        <v>44032</v>
      </c>
      <c r="E18" s="176">
        <v>45496</v>
      </c>
      <c r="F18" s="177">
        <v>11000</v>
      </c>
      <c r="G18" s="177"/>
      <c r="H18" s="177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56"/>
      <c r="Z18" s="156"/>
      <c r="AA18" s="156"/>
      <c r="AB18" s="156"/>
      <c r="AC18" s="156"/>
      <c r="AD18" s="157"/>
    </row>
    <row r="19" spans="1:30" ht="20.100000000000001" hidden="1" customHeight="1" x14ac:dyDescent="0.35">
      <c r="A19" s="145" t="s">
        <v>1</v>
      </c>
      <c r="B19" s="82" t="s">
        <v>1</v>
      </c>
      <c r="C19" s="146" t="s">
        <v>223</v>
      </c>
      <c r="D19" s="147">
        <v>44498</v>
      </c>
      <c r="E19" s="147">
        <v>45610</v>
      </c>
      <c r="F19" s="148">
        <v>20000</v>
      </c>
      <c r="G19" s="148"/>
      <c r="H19" s="148"/>
      <c r="I19" s="149"/>
      <c r="J19" s="149"/>
      <c r="K19" s="149"/>
      <c r="L19" s="149"/>
      <c r="M19" s="149"/>
      <c r="N19" s="149"/>
      <c r="O19" s="149"/>
      <c r="P19" s="149"/>
      <c r="Q19" s="149"/>
      <c r="R19" s="149"/>
      <c r="S19" s="149"/>
      <c r="T19" s="149"/>
      <c r="U19" s="149"/>
      <c r="V19" s="149"/>
      <c r="W19" s="149"/>
      <c r="X19" s="149"/>
      <c r="Y19" s="156"/>
      <c r="Z19" s="156"/>
      <c r="AA19" s="156"/>
      <c r="AB19" s="156"/>
      <c r="AC19" s="156"/>
      <c r="AD19" s="157"/>
    </row>
    <row r="20" spans="1:30" ht="20.100000000000001" hidden="1" customHeight="1" x14ac:dyDescent="0.35">
      <c r="A20" s="133" t="s">
        <v>1</v>
      </c>
      <c r="B20" s="90" t="s">
        <v>1</v>
      </c>
      <c r="C20" s="134" t="s">
        <v>212</v>
      </c>
      <c r="D20" s="162">
        <v>44679</v>
      </c>
      <c r="E20" s="162">
        <v>45777</v>
      </c>
      <c r="F20" s="163">
        <v>10000</v>
      </c>
      <c r="G20" s="148"/>
      <c r="H20" s="148"/>
      <c r="I20" s="149"/>
      <c r="J20" s="149"/>
      <c r="K20" s="149"/>
      <c r="L20" s="149"/>
      <c r="M20" s="149"/>
      <c r="N20" s="149"/>
      <c r="O20" s="136"/>
      <c r="P20" s="136"/>
      <c r="Q20" s="136"/>
      <c r="R20" s="136"/>
      <c r="S20" s="136"/>
      <c r="T20" s="136"/>
      <c r="U20" s="136"/>
      <c r="V20" s="136"/>
      <c r="W20" s="136"/>
      <c r="X20" s="136"/>
      <c r="Y20" s="137"/>
      <c r="Z20" s="137"/>
      <c r="AA20" s="137"/>
      <c r="AB20" s="137"/>
      <c r="AC20" s="137"/>
      <c r="AD20" s="138"/>
    </row>
    <row r="21" spans="1:30" ht="20.100000000000001" hidden="1" customHeight="1" x14ac:dyDescent="0.35">
      <c r="A21" s="139" t="s">
        <v>1</v>
      </c>
      <c r="B21" s="96" t="s">
        <v>1</v>
      </c>
      <c r="C21" s="140" t="s">
        <v>224</v>
      </c>
      <c r="D21" s="141">
        <v>44090</v>
      </c>
      <c r="E21" s="141">
        <v>45917</v>
      </c>
      <c r="F21" s="142">
        <v>30000</v>
      </c>
      <c r="G21" s="142"/>
      <c r="H21" s="142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69"/>
      <c r="Z21" s="169"/>
      <c r="AA21" s="169"/>
      <c r="AB21" s="169"/>
      <c r="AC21" s="169"/>
      <c r="AD21" s="170"/>
    </row>
    <row r="22" spans="1:30" ht="20.100000000000001" hidden="1" customHeight="1" x14ac:dyDescent="0.35">
      <c r="A22" s="145" t="s">
        <v>1</v>
      </c>
      <c r="B22" s="82" t="s">
        <v>1</v>
      </c>
      <c r="C22" s="175" t="s">
        <v>237</v>
      </c>
      <c r="D22" s="176">
        <v>44075</v>
      </c>
      <c r="E22" s="176">
        <v>46084</v>
      </c>
      <c r="F22" s="177">
        <v>30000</v>
      </c>
      <c r="G22" s="177"/>
      <c r="H22" s="177"/>
      <c r="I22" s="149"/>
      <c r="J22" s="149"/>
      <c r="K22" s="149"/>
      <c r="L22" s="149"/>
      <c r="M22" s="149"/>
      <c r="N22" s="149"/>
      <c r="O22" s="149"/>
      <c r="P22" s="149"/>
      <c r="Q22" s="149"/>
      <c r="R22" s="149"/>
      <c r="S22" s="149"/>
      <c r="T22" s="149"/>
      <c r="U22" s="149"/>
      <c r="V22" s="149"/>
      <c r="W22" s="149"/>
      <c r="X22" s="149"/>
      <c r="Y22" s="156"/>
      <c r="Z22" s="156"/>
      <c r="AA22" s="156"/>
      <c r="AB22" s="156"/>
      <c r="AC22" s="156"/>
      <c r="AD22" s="157"/>
    </row>
    <row r="23" spans="1:30" ht="20.100000000000001" hidden="1" customHeight="1" x14ac:dyDescent="0.35">
      <c r="A23" s="150" t="s">
        <v>1</v>
      </c>
      <c r="B23" s="86" t="s">
        <v>1</v>
      </c>
      <c r="C23" s="158" t="s">
        <v>221</v>
      </c>
      <c r="D23" s="159">
        <v>44375</v>
      </c>
      <c r="E23" s="159">
        <v>46202</v>
      </c>
      <c r="F23" s="160">
        <v>12000</v>
      </c>
      <c r="G23" s="160"/>
      <c r="H23" s="160"/>
      <c r="I23" s="153"/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4"/>
      <c r="Z23" s="154"/>
      <c r="AA23" s="154"/>
      <c r="AB23" s="154"/>
      <c r="AC23" s="154"/>
      <c r="AD23" s="155"/>
    </row>
    <row r="24" spans="1:30" ht="20.100000000000001" hidden="1" customHeight="1" x14ac:dyDescent="0.35">
      <c r="A24" s="145" t="s">
        <v>1</v>
      </c>
      <c r="B24" s="82" t="s">
        <v>1</v>
      </c>
      <c r="C24" s="175" t="s">
        <v>214</v>
      </c>
      <c r="D24" s="176">
        <v>44515</v>
      </c>
      <c r="E24" s="176">
        <v>46343</v>
      </c>
      <c r="F24" s="177">
        <v>7000</v>
      </c>
      <c r="G24" s="177"/>
      <c r="H24" s="177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56"/>
      <c r="Z24" s="156"/>
      <c r="AA24" s="156"/>
      <c r="AB24" s="156"/>
      <c r="AC24" s="156"/>
      <c r="AD24" s="157"/>
    </row>
    <row r="25" spans="1:30" ht="20.100000000000001" customHeight="1" x14ac:dyDescent="0.35">
      <c r="A25" s="139" t="s">
        <v>94</v>
      </c>
      <c r="B25" s="96" t="s">
        <v>6</v>
      </c>
      <c r="C25" s="242" t="s">
        <v>292</v>
      </c>
      <c r="D25" s="167">
        <v>44285</v>
      </c>
      <c r="E25" s="167">
        <v>46091</v>
      </c>
      <c r="F25" s="168">
        <v>5000</v>
      </c>
      <c r="G25" s="168"/>
      <c r="H25" s="168"/>
      <c r="I25" s="168"/>
      <c r="J25" s="168"/>
      <c r="K25" s="168"/>
      <c r="L25" s="168"/>
      <c r="M25" s="168"/>
      <c r="N25" s="168"/>
      <c r="O25" s="168"/>
      <c r="P25" s="168"/>
      <c r="Q25" s="168"/>
      <c r="R25" s="168"/>
      <c r="S25" s="168"/>
      <c r="T25" s="168"/>
      <c r="U25" s="168"/>
      <c r="V25" s="168"/>
      <c r="W25" s="168"/>
      <c r="X25" s="168"/>
      <c r="Y25" s="169"/>
      <c r="Z25" s="169"/>
      <c r="AA25" s="169"/>
      <c r="AB25" s="169"/>
      <c r="AC25" s="169"/>
      <c r="AD25" s="170"/>
    </row>
    <row r="26" spans="1:30" ht="20.100000000000001" hidden="1" customHeight="1" x14ac:dyDescent="0.35">
      <c r="A26" s="145" t="s">
        <v>94</v>
      </c>
      <c r="B26" s="82" t="s">
        <v>123</v>
      </c>
      <c r="C26" s="240" t="s">
        <v>73</v>
      </c>
      <c r="D26" s="241">
        <v>43985</v>
      </c>
      <c r="E26" s="241">
        <v>45945</v>
      </c>
      <c r="F26" s="149">
        <v>10597.39</v>
      </c>
      <c r="G26" s="149"/>
      <c r="H26" s="149"/>
      <c r="I26" s="149"/>
      <c r="J26" s="149"/>
      <c r="K26" s="149"/>
      <c r="L26" s="149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  <c r="AC26" s="156"/>
      <c r="AD26" s="157"/>
    </row>
    <row r="27" spans="1:30" ht="20.100000000000001" hidden="1" customHeight="1" x14ac:dyDescent="0.35">
      <c r="A27" s="150" t="s">
        <v>94</v>
      </c>
      <c r="B27" s="86" t="s">
        <v>123</v>
      </c>
      <c r="C27" s="151" t="s">
        <v>72</v>
      </c>
      <c r="D27" s="152">
        <v>44161</v>
      </c>
      <c r="E27" s="152">
        <v>45945</v>
      </c>
      <c r="F27" s="153">
        <v>6032.24</v>
      </c>
      <c r="G27" s="153"/>
      <c r="H27" s="153"/>
      <c r="I27" s="153"/>
      <c r="J27" s="153"/>
      <c r="K27" s="153"/>
      <c r="L27" s="153"/>
      <c r="M27" s="154"/>
      <c r="N27" s="154"/>
      <c r="O27" s="154"/>
      <c r="P27" s="154"/>
      <c r="Q27" s="154"/>
      <c r="R27" s="154"/>
      <c r="S27" s="154"/>
      <c r="T27" s="154"/>
      <c r="U27" s="154"/>
      <c r="V27" s="154"/>
      <c r="W27" s="154"/>
      <c r="X27" s="154"/>
      <c r="Y27" s="154"/>
      <c r="Z27" s="154"/>
      <c r="AA27" s="154"/>
      <c r="AB27" s="154"/>
      <c r="AC27" s="154"/>
      <c r="AD27" s="155"/>
    </row>
    <row r="28" spans="1:30" ht="20.100000000000001" hidden="1" customHeight="1" x14ac:dyDescent="0.35">
      <c r="A28" s="150" t="s">
        <v>94</v>
      </c>
      <c r="B28" s="86" t="s">
        <v>123</v>
      </c>
      <c r="C28" s="158" t="s">
        <v>160</v>
      </c>
      <c r="D28" s="159">
        <v>44362</v>
      </c>
      <c r="E28" s="159">
        <v>47953</v>
      </c>
      <c r="F28" s="160">
        <v>5000</v>
      </c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54"/>
      <c r="Z28" s="154"/>
      <c r="AA28" s="154"/>
      <c r="AB28" s="154"/>
      <c r="AC28" s="154"/>
      <c r="AD28" s="155"/>
    </row>
    <row r="29" spans="1:30" ht="20.100000000000001" hidden="1" customHeight="1" x14ac:dyDescent="0.35">
      <c r="A29" s="133" t="s">
        <v>96</v>
      </c>
      <c r="B29" s="90" t="s">
        <v>96</v>
      </c>
      <c r="C29" s="134" t="s">
        <v>278</v>
      </c>
      <c r="D29" s="179">
        <v>44706</v>
      </c>
      <c r="E29" s="179">
        <v>45040</v>
      </c>
      <c r="F29" s="180">
        <v>9998.5300000000007</v>
      </c>
      <c r="G29" s="177"/>
      <c r="H29" s="177"/>
      <c r="I29" s="177"/>
      <c r="J29" s="177"/>
      <c r="K29" s="177"/>
      <c r="L29" s="177"/>
      <c r="M29" s="177"/>
      <c r="N29" s="177"/>
      <c r="O29" s="177"/>
      <c r="P29" s="177"/>
      <c r="Q29" s="177"/>
      <c r="R29" s="177"/>
      <c r="S29" s="177"/>
      <c r="T29" s="177"/>
      <c r="U29" s="177"/>
      <c r="V29" s="177"/>
      <c r="W29" s="177"/>
      <c r="X29" s="177"/>
      <c r="Y29" s="177"/>
      <c r="Z29" s="177"/>
      <c r="AA29" s="177"/>
      <c r="AB29" s="177"/>
      <c r="AC29" s="177"/>
      <c r="AD29" s="260"/>
    </row>
    <row r="30" spans="1:30" ht="20.100000000000001" hidden="1" customHeight="1" x14ac:dyDescent="0.35">
      <c r="A30" s="139" t="s">
        <v>96</v>
      </c>
      <c r="B30" s="96" t="s">
        <v>96</v>
      </c>
      <c r="C30" s="183" t="s">
        <v>276</v>
      </c>
      <c r="D30" s="167">
        <v>44887</v>
      </c>
      <c r="E30" s="167">
        <v>45175</v>
      </c>
      <c r="F30" s="168"/>
      <c r="G30" s="160"/>
      <c r="H30" s="160"/>
      <c r="I30" s="160"/>
      <c r="J30" s="160"/>
      <c r="K30" s="160"/>
      <c r="L30" s="160"/>
      <c r="M30" s="160"/>
      <c r="N30" s="160"/>
      <c r="O30" s="168"/>
      <c r="P30" s="168"/>
      <c r="Q30" s="168"/>
      <c r="R30" s="168"/>
      <c r="S30" s="168"/>
      <c r="T30" s="168"/>
      <c r="U30" s="168"/>
      <c r="V30" s="168"/>
      <c r="W30" s="168"/>
      <c r="X30" s="168"/>
      <c r="Y30" s="168"/>
      <c r="Z30" s="168"/>
      <c r="AA30" s="168"/>
      <c r="AB30" s="168"/>
      <c r="AC30" s="168"/>
      <c r="AD30" s="182"/>
    </row>
    <row r="31" spans="1:30" ht="20.100000000000001" hidden="1" customHeight="1" x14ac:dyDescent="0.35">
      <c r="A31" s="133" t="s">
        <v>96</v>
      </c>
      <c r="B31" s="90" t="s">
        <v>96</v>
      </c>
      <c r="C31" s="161" t="s">
        <v>245</v>
      </c>
      <c r="D31" s="179">
        <v>44858</v>
      </c>
      <c r="E31" s="179">
        <v>48351</v>
      </c>
      <c r="F31" s="180">
        <v>9953.2000000000007</v>
      </c>
      <c r="G31" s="177"/>
      <c r="H31" s="177"/>
      <c r="I31" s="177"/>
      <c r="J31" s="177"/>
      <c r="K31" s="177"/>
      <c r="L31" s="177"/>
      <c r="M31" s="177"/>
      <c r="N31" s="177"/>
      <c r="O31" s="177"/>
      <c r="P31" s="177"/>
      <c r="Q31" s="177"/>
      <c r="R31" s="177"/>
      <c r="S31" s="177"/>
      <c r="T31" s="177"/>
      <c r="U31" s="177"/>
      <c r="V31" s="177"/>
      <c r="W31" s="177"/>
      <c r="X31" s="177"/>
      <c r="Y31" s="180"/>
      <c r="Z31" s="180"/>
      <c r="AA31" s="180"/>
      <c r="AB31" s="180"/>
      <c r="AC31" s="180"/>
      <c r="AD31" s="305"/>
    </row>
    <row r="32" spans="1:30" ht="20.100000000000001" hidden="1" customHeight="1" x14ac:dyDescent="0.35">
      <c r="A32" s="133" t="s">
        <v>96</v>
      </c>
      <c r="B32" s="90" t="s">
        <v>96</v>
      </c>
      <c r="C32" s="174" t="s">
        <v>281</v>
      </c>
      <c r="D32" s="171">
        <v>44987</v>
      </c>
      <c r="E32" s="171">
        <v>48351</v>
      </c>
      <c r="F32" s="137">
        <v>2000</v>
      </c>
      <c r="G32" s="156"/>
      <c r="H32" s="156"/>
      <c r="I32" s="156"/>
      <c r="J32" s="156"/>
      <c r="K32" s="156"/>
      <c r="L32" s="156"/>
      <c r="M32" s="156"/>
      <c r="N32" s="156"/>
      <c r="O32" s="137"/>
      <c r="P32" s="137"/>
      <c r="Q32" s="137"/>
      <c r="R32" s="137"/>
      <c r="S32" s="137"/>
      <c r="T32" s="137"/>
      <c r="U32" s="137"/>
      <c r="V32" s="137"/>
      <c r="W32" s="137"/>
      <c r="X32" s="137"/>
      <c r="Y32" s="137"/>
      <c r="Z32" s="137"/>
      <c r="AA32" s="137"/>
      <c r="AB32" s="137"/>
      <c r="AC32" s="137"/>
      <c r="AD32" s="137"/>
    </row>
    <row r="33" spans="1:30" ht="20.100000000000001" hidden="1" customHeight="1" x14ac:dyDescent="0.35">
      <c r="A33" s="139" t="s">
        <v>96</v>
      </c>
      <c r="B33" s="96" t="s">
        <v>96</v>
      </c>
      <c r="C33" s="183" t="s">
        <v>277</v>
      </c>
      <c r="D33" s="167">
        <v>44650</v>
      </c>
      <c r="E33" s="171">
        <v>45563</v>
      </c>
      <c r="F33" s="168">
        <v>5000</v>
      </c>
      <c r="G33" s="160"/>
      <c r="H33" s="160"/>
      <c r="I33" s="160"/>
      <c r="J33" s="160"/>
      <c r="K33" s="160"/>
      <c r="L33" s="160"/>
      <c r="M33" s="160"/>
      <c r="N33" s="160"/>
      <c r="O33" s="168"/>
      <c r="P33" s="168"/>
      <c r="Q33" s="168"/>
      <c r="R33" s="168"/>
      <c r="S33" s="168"/>
      <c r="T33" s="168"/>
      <c r="U33" s="168"/>
      <c r="V33" s="168"/>
      <c r="W33" s="168"/>
      <c r="X33" s="168"/>
      <c r="Y33" s="168"/>
      <c r="Z33" s="168"/>
      <c r="AA33" s="168"/>
      <c r="AB33" s="168"/>
      <c r="AC33" s="168"/>
      <c r="AD33" s="182"/>
    </row>
    <row r="34" spans="1:30" ht="20.100000000000001" hidden="1" customHeight="1" x14ac:dyDescent="0.35">
      <c r="A34" s="133" t="s">
        <v>95</v>
      </c>
      <c r="B34" s="90" t="s">
        <v>120</v>
      </c>
      <c r="C34" s="174" t="s">
        <v>197</v>
      </c>
      <c r="D34" s="171">
        <v>44286</v>
      </c>
      <c r="E34" s="167">
        <v>48351</v>
      </c>
      <c r="F34" s="137">
        <v>6037.22</v>
      </c>
      <c r="G34" s="137"/>
      <c r="H34" s="137"/>
      <c r="I34" s="137"/>
      <c r="J34" s="137"/>
      <c r="K34" s="137"/>
      <c r="L34" s="137"/>
      <c r="M34" s="137"/>
      <c r="N34" s="137"/>
      <c r="O34" s="137"/>
      <c r="P34" s="137"/>
      <c r="Q34" s="137"/>
      <c r="R34" s="137"/>
      <c r="S34" s="137"/>
      <c r="T34" s="137"/>
      <c r="U34" s="137"/>
      <c r="V34" s="137"/>
      <c r="W34" s="137"/>
      <c r="X34" s="137"/>
      <c r="Y34" s="137"/>
      <c r="Z34" s="137"/>
      <c r="AA34" s="137"/>
      <c r="AB34" s="137"/>
      <c r="AC34" s="137"/>
      <c r="AD34" s="138"/>
    </row>
    <row r="35" spans="1:30" ht="20.100000000000001" hidden="1" customHeight="1" x14ac:dyDescent="0.35">
      <c r="A35" s="139" t="s">
        <v>94</v>
      </c>
      <c r="B35" s="96" t="s">
        <v>8</v>
      </c>
      <c r="C35" s="181" t="s">
        <v>285</v>
      </c>
      <c r="D35" s="173">
        <v>45015</v>
      </c>
      <c r="E35" s="173">
        <v>45383</v>
      </c>
      <c r="F35" s="169">
        <v>18000</v>
      </c>
      <c r="G35" s="154"/>
      <c r="H35" s="154"/>
      <c r="I35" s="154"/>
      <c r="J35" s="154"/>
      <c r="K35" s="154"/>
      <c r="L35" s="154"/>
      <c r="M35" s="154"/>
      <c r="N35" s="154"/>
      <c r="O35" s="169"/>
      <c r="P35" s="169"/>
      <c r="Q35" s="169"/>
      <c r="R35" s="169"/>
      <c r="S35" s="169"/>
      <c r="T35" s="169"/>
      <c r="U35" s="169"/>
      <c r="V35" s="169"/>
      <c r="W35" s="169"/>
      <c r="X35" s="169"/>
      <c r="Y35" s="169"/>
      <c r="Z35" s="169"/>
      <c r="AA35" s="169"/>
      <c r="AB35" s="169"/>
      <c r="AC35" s="169"/>
      <c r="AD35" s="170"/>
    </row>
    <row r="36" spans="1:30" ht="20.100000000000001" hidden="1" customHeight="1" x14ac:dyDescent="0.35">
      <c r="A36" s="139" t="s">
        <v>94</v>
      </c>
      <c r="B36" s="96" t="s">
        <v>8</v>
      </c>
      <c r="C36" s="181" t="s">
        <v>283</v>
      </c>
      <c r="D36" s="173">
        <v>45015</v>
      </c>
      <c r="E36" s="173">
        <v>45386</v>
      </c>
      <c r="F36" s="169">
        <v>15000</v>
      </c>
      <c r="G36" s="154"/>
      <c r="H36" s="154"/>
      <c r="I36" s="154"/>
      <c r="J36" s="154"/>
      <c r="K36" s="154"/>
      <c r="L36" s="154"/>
      <c r="M36" s="154"/>
      <c r="N36" s="154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  <c r="AA36" s="169"/>
      <c r="AB36" s="169"/>
      <c r="AC36" s="169"/>
      <c r="AD36" s="170"/>
    </row>
    <row r="37" spans="1:30" ht="20.100000000000001" hidden="1" customHeight="1" x14ac:dyDescent="0.35">
      <c r="A37" s="139" t="s">
        <v>94</v>
      </c>
      <c r="B37" s="96" t="s">
        <v>8</v>
      </c>
      <c r="C37" s="140" t="s">
        <v>244</v>
      </c>
      <c r="D37" s="173">
        <v>44887</v>
      </c>
      <c r="E37" s="173">
        <v>45432</v>
      </c>
      <c r="F37" s="169">
        <v>8000</v>
      </c>
      <c r="G37" s="154"/>
      <c r="H37" s="154"/>
      <c r="I37" s="154"/>
      <c r="J37" s="154"/>
      <c r="K37" s="154"/>
      <c r="L37" s="154"/>
      <c r="M37" s="154"/>
      <c r="N37" s="154"/>
      <c r="O37" s="169"/>
      <c r="P37" s="169"/>
      <c r="Q37" s="169"/>
      <c r="R37" s="169"/>
      <c r="S37" s="169"/>
      <c r="T37" s="169"/>
      <c r="U37" s="169"/>
      <c r="V37" s="169"/>
      <c r="W37" s="169"/>
      <c r="X37" s="169"/>
      <c r="Y37" s="169"/>
      <c r="Z37" s="169"/>
      <c r="AA37" s="169"/>
      <c r="AB37" s="169"/>
      <c r="AC37" s="169"/>
      <c r="AD37" s="170"/>
    </row>
    <row r="38" spans="1:30" ht="20.100000000000001" hidden="1" customHeight="1" x14ac:dyDescent="0.35">
      <c r="A38" s="139" t="s">
        <v>94</v>
      </c>
      <c r="B38" s="96" t="s">
        <v>8</v>
      </c>
      <c r="C38" s="181" t="s">
        <v>289</v>
      </c>
      <c r="D38" s="173">
        <v>45056</v>
      </c>
      <c r="E38" s="173">
        <v>45483</v>
      </c>
      <c r="F38" s="169">
        <v>10000</v>
      </c>
      <c r="G38" s="244"/>
      <c r="H38" s="244"/>
      <c r="I38" s="244"/>
      <c r="J38" s="244"/>
      <c r="K38" s="244"/>
      <c r="L38" s="244"/>
      <c r="M38" s="244"/>
      <c r="N38" s="244"/>
      <c r="O38" s="169"/>
      <c r="P38" s="169"/>
      <c r="Q38" s="169"/>
      <c r="R38" s="169"/>
      <c r="S38" s="169"/>
      <c r="T38" s="169"/>
      <c r="U38" s="169"/>
      <c r="V38" s="169"/>
      <c r="W38" s="169"/>
      <c r="X38" s="169"/>
      <c r="Y38" s="169"/>
      <c r="Z38" s="169"/>
      <c r="AA38" s="169"/>
      <c r="AB38" s="169"/>
      <c r="AC38" s="169"/>
      <c r="AD38" s="170"/>
    </row>
    <row r="39" spans="1:30" ht="20.100000000000001" hidden="1" customHeight="1" x14ac:dyDescent="0.35">
      <c r="A39" s="139" t="s">
        <v>94</v>
      </c>
      <c r="B39" s="96" t="s">
        <v>8</v>
      </c>
      <c r="C39" s="140" t="s">
        <v>243</v>
      </c>
      <c r="D39" s="173">
        <v>44866</v>
      </c>
      <c r="E39" s="173">
        <v>45587</v>
      </c>
      <c r="F39" s="169">
        <v>10000</v>
      </c>
      <c r="G39" s="154"/>
      <c r="H39" s="154"/>
      <c r="I39" s="154"/>
      <c r="J39" s="154"/>
      <c r="K39" s="154"/>
      <c r="L39" s="154"/>
      <c r="M39" s="154"/>
      <c r="N39" s="154"/>
      <c r="O39" s="169"/>
      <c r="P39" s="169"/>
      <c r="Q39" s="169"/>
      <c r="R39" s="169"/>
      <c r="S39" s="169"/>
      <c r="T39" s="169"/>
      <c r="U39" s="169"/>
      <c r="V39" s="169"/>
      <c r="W39" s="169"/>
      <c r="X39" s="169"/>
      <c r="Y39" s="169"/>
      <c r="Z39" s="169"/>
      <c r="AA39" s="169"/>
      <c r="AB39" s="169"/>
      <c r="AC39" s="169"/>
      <c r="AD39" s="170"/>
    </row>
    <row r="40" spans="1:30" ht="20.100000000000001" hidden="1" customHeight="1" x14ac:dyDescent="0.35">
      <c r="A40" s="251" t="s">
        <v>94</v>
      </c>
      <c r="B40" s="252" t="s">
        <v>9</v>
      </c>
      <c r="C40" s="300" t="s">
        <v>240</v>
      </c>
      <c r="D40" s="301">
        <v>44686</v>
      </c>
      <c r="E40" s="162">
        <v>45051</v>
      </c>
      <c r="F40" s="302">
        <v>10000</v>
      </c>
      <c r="G40" s="303"/>
      <c r="H40" s="303"/>
      <c r="I40" s="303"/>
      <c r="J40" s="303"/>
      <c r="K40" s="303"/>
      <c r="L40" s="303"/>
      <c r="M40" s="303"/>
      <c r="N40" s="303"/>
      <c r="O40" s="302"/>
      <c r="P40" s="302"/>
      <c r="Q40" s="302"/>
      <c r="R40" s="302"/>
      <c r="S40" s="304"/>
      <c r="T40" s="304"/>
      <c r="U40" s="304"/>
      <c r="V40" s="304"/>
      <c r="W40" s="304"/>
      <c r="X40" s="304"/>
      <c r="Y40" s="253"/>
      <c r="Z40" s="253"/>
      <c r="AA40" s="253"/>
      <c r="AB40" s="253"/>
      <c r="AC40" s="253"/>
      <c r="AD40" s="254"/>
    </row>
    <row r="41" spans="1:30" ht="20.100000000000001" hidden="1" customHeight="1" x14ac:dyDescent="0.35">
      <c r="A41" s="133" t="s">
        <v>94</v>
      </c>
      <c r="B41" s="90" t="s">
        <v>9</v>
      </c>
      <c r="C41" s="161" t="s">
        <v>229</v>
      </c>
      <c r="D41" s="162">
        <v>44694</v>
      </c>
      <c r="E41" s="162">
        <v>45414</v>
      </c>
      <c r="F41" s="163">
        <v>10000</v>
      </c>
      <c r="G41" s="148"/>
      <c r="H41" s="148"/>
      <c r="I41" s="148"/>
      <c r="J41" s="148"/>
      <c r="K41" s="148"/>
      <c r="L41" s="148"/>
      <c r="M41" s="148"/>
      <c r="N41" s="148"/>
      <c r="O41" s="163"/>
      <c r="P41" s="163"/>
      <c r="Q41" s="163"/>
      <c r="R41" s="163"/>
      <c r="S41" s="180"/>
      <c r="T41" s="180"/>
      <c r="U41" s="180"/>
      <c r="V41" s="180"/>
      <c r="W41" s="180"/>
      <c r="X41" s="180"/>
      <c r="Y41" s="137"/>
      <c r="Z41" s="137"/>
      <c r="AA41" s="137"/>
      <c r="AB41" s="137"/>
      <c r="AC41" s="137"/>
      <c r="AD41" s="138"/>
    </row>
    <row r="42" spans="1:30" ht="20.100000000000001" customHeight="1" x14ac:dyDescent="0.35">
      <c r="A42" s="124"/>
      <c r="B42" s="125"/>
      <c r="C42" s="126"/>
      <c r="D42" s="127"/>
      <c r="E42" s="127"/>
      <c r="F42" s="128">
        <f xml:space="preserve"> SUM(ValoresMensais[CAPITAL INICIAL  INVESTIDO])</f>
        <v>473230.43</v>
      </c>
      <c r="G42" s="128">
        <f xml:space="preserve"> SUM(ValoresMensais[JANEIRO BRUTO])</f>
        <v>1000</v>
      </c>
      <c r="H42" s="128">
        <f xml:space="preserve"> SUM(ValoresMensais[JANEIRO LIQUIDO])</f>
        <v>0</v>
      </c>
      <c r="I42" s="128">
        <f xml:space="preserve"> SUM(ValoresMensais[FEVEREIRO BRUTO])</f>
        <v>0</v>
      </c>
      <c r="J42" s="128">
        <f xml:space="preserve"> SUM(ValoresMensais[FEVEREIRO LIQUIDO])</f>
        <v>0</v>
      </c>
      <c r="K42" s="128">
        <f xml:space="preserve"> SUM(ValoresMensais[MARCO BRUTO])</f>
        <v>0</v>
      </c>
      <c r="L42" s="128">
        <f xml:space="preserve"> SUM(ValoresMensais[MARCO LIQUIDO])</f>
        <v>0</v>
      </c>
      <c r="M42" s="128">
        <f xml:space="preserve"> SUM(ValoresMensais[ABRIL BRUTO])</f>
        <v>0</v>
      </c>
      <c r="N42" s="128">
        <f xml:space="preserve"> SUM(ValoresMensais[ABRIL LIQUIDO])</f>
        <v>0</v>
      </c>
      <c r="O42" s="128">
        <f xml:space="preserve"> SUM(ValoresMensais[MAIO BRUTO])</f>
        <v>0</v>
      </c>
      <c r="P42" s="128">
        <f xml:space="preserve"> SUM(ValoresMensais[MAIO LIQUIDO])</f>
        <v>0</v>
      </c>
      <c r="Q42" s="128">
        <f xml:space="preserve"> SUM(ValoresMensais[JUNHO BRUTO])</f>
        <v>0</v>
      </c>
      <c r="R42" s="128">
        <f xml:space="preserve"> SUM(ValoresMensais[JUNHO LIQUIDO])</f>
        <v>0</v>
      </c>
      <c r="S42" s="128">
        <f xml:space="preserve"> SUM(ValoresMensais[JULHO BRUTO])</f>
        <v>0</v>
      </c>
      <c r="T42" s="128">
        <f xml:space="preserve"> SUM(ValoresMensais[JULHO LIQUIDO])</f>
        <v>0</v>
      </c>
      <c r="U42" s="128">
        <f xml:space="preserve"> SUM(ValoresMensais[AGOSTO BRUTO])</f>
        <v>0</v>
      </c>
      <c r="V42" s="128">
        <f xml:space="preserve"> SUM(ValoresMensais[AGOSTO LIQUIDO])</f>
        <v>0</v>
      </c>
      <c r="W42" s="128">
        <f xml:space="preserve"> SUM(ValoresMensais[SETEMBRO BRUTO])</f>
        <v>0</v>
      </c>
      <c r="X42" s="128">
        <f xml:space="preserve"> SUM(ValoresMensais[SETEMBRO LIQUIDO])</f>
        <v>0</v>
      </c>
      <c r="Y42" s="128">
        <f xml:space="preserve"> SUM(ValoresMensais[OUTUBRO BRUTO])</f>
        <v>0</v>
      </c>
      <c r="Z42" s="128">
        <f xml:space="preserve"> SUM(ValoresMensais[OUTUBRO LIQUIDO])</f>
        <v>0</v>
      </c>
      <c r="AA42" s="128">
        <f xml:space="preserve"> SUM(ValoresMensais[NOVEMBRO BRUTO])</f>
        <v>0</v>
      </c>
      <c r="AB42" s="128">
        <f xml:space="preserve"> SUM(ValoresMensais[NOVEMBRO LIQUIDO])</f>
        <v>0</v>
      </c>
      <c r="AC42" s="128">
        <f xml:space="preserve"> SUM(ValoresMensais[DEZEMBRO BRUTO])</f>
        <v>0</v>
      </c>
      <c r="AD42" s="128">
        <f xml:space="preserve"> SUM(ValoresMensais[DEZEMBRO LIQUIDO])</f>
        <v>0</v>
      </c>
    </row>
    <row r="43" spans="1:30" ht="20.100000000000001" customHeight="1" x14ac:dyDescent="0.35">
      <c r="AC43" s="1"/>
    </row>
    <row r="44" spans="1:30" ht="20.100000000000001" customHeight="1" x14ac:dyDescent="0.35">
      <c r="A44" s="34"/>
      <c r="AC44" s="1"/>
    </row>
    <row r="45" spans="1:30" ht="20.100000000000001" customHeight="1" x14ac:dyDescent="0.35">
      <c r="A45" s="34"/>
      <c r="B45" s="34"/>
      <c r="AC45" s="1"/>
    </row>
    <row r="46" spans="1:30" ht="20.100000000000001" customHeight="1" x14ac:dyDescent="0.35">
      <c r="A46" s="34"/>
      <c r="B46" s="34"/>
      <c r="AC46" s="1"/>
    </row>
    <row r="47" spans="1:30" ht="20.100000000000001" customHeight="1" x14ac:dyDescent="0.35">
      <c r="AC47" s="1"/>
    </row>
    <row r="48" spans="1:30" ht="20.100000000000001" customHeight="1" x14ac:dyDescent="0.35">
      <c r="AC48" s="1"/>
    </row>
    <row r="49" spans="29:29" ht="20.100000000000001" customHeight="1" x14ac:dyDescent="0.35">
      <c r="AC49" s="1"/>
    </row>
    <row r="50" spans="29:29" ht="20.100000000000001" customHeight="1" x14ac:dyDescent="0.35">
      <c r="AC50" s="1"/>
    </row>
    <row r="51" spans="29:29" ht="20.100000000000001" customHeight="1" x14ac:dyDescent="0.35">
      <c r="AC51" s="1"/>
    </row>
    <row r="52" spans="29:29" ht="20.100000000000001" customHeight="1" x14ac:dyDescent="0.35">
      <c r="AC52" s="1"/>
    </row>
    <row r="53" spans="29:29" ht="20.100000000000001" customHeight="1" x14ac:dyDescent="0.35">
      <c r="AC53" s="1"/>
    </row>
    <row r="54" spans="29:29" ht="20.100000000000001" customHeight="1" x14ac:dyDescent="0.35">
      <c r="AC54" s="1"/>
    </row>
    <row r="55" spans="29:29" ht="20.100000000000001" customHeight="1" x14ac:dyDescent="0.35">
      <c r="AC55" s="1"/>
    </row>
    <row r="56" spans="29:29" ht="20.100000000000001" customHeight="1" x14ac:dyDescent="0.35">
      <c r="AC56" s="1"/>
    </row>
    <row r="57" spans="29:29" x14ac:dyDescent="0.35">
      <c r="AC57" s="1"/>
    </row>
    <row r="58" spans="29:29" x14ac:dyDescent="0.35">
      <c r="AC58" s="1"/>
    </row>
    <row r="59" spans="29:29" x14ac:dyDescent="0.35">
      <c r="AC59" s="1"/>
    </row>
    <row r="60" spans="29:29" x14ac:dyDescent="0.35">
      <c r="AC60" s="1"/>
    </row>
    <row r="61" spans="29:29" x14ac:dyDescent="0.35">
      <c r="AC61" s="1"/>
    </row>
    <row r="62" spans="29:29" x14ac:dyDescent="0.35">
      <c r="AC62" s="1"/>
    </row>
    <row r="63" spans="29:29" x14ac:dyDescent="0.35">
      <c r="AC63" s="1"/>
    </row>
    <row r="64" spans="29:29" x14ac:dyDescent="0.35">
      <c r="AC64" s="1"/>
    </row>
    <row r="65" spans="29:29" x14ac:dyDescent="0.35">
      <c r="AC65" s="1"/>
    </row>
    <row r="66" spans="29:29" x14ac:dyDescent="0.35">
      <c r="AC66" s="1"/>
    </row>
    <row r="67" spans="29:29" x14ac:dyDescent="0.35">
      <c r="AC67" s="1"/>
    </row>
    <row r="68" spans="29:29" x14ac:dyDescent="0.35">
      <c r="AC68" s="1"/>
    </row>
    <row r="69" spans="29:29" x14ac:dyDescent="0.35">
      <c r="AC69" s="1"/>
    </row>
    <row r="70" spans="29:29" x14ac:dyDescent="0.35">
      <c r="AC70" s="1"/>
    </row>
    <row r="71" spans="29:29" x14ac:dyDescent="0.35">
      <c r="AC71" s="1"/>
    </row>
    <row r="72" spans="29:29" x14ac:dyDescent="0.35">
      <c r="AC72" s="1"/>
    </row>
    <row r="73" spans="29:29" x14ac:dyDescent="0.35">
      <c r="AC73" s="1"/>
    </row>
    <row r="74" spans="29:29" x14ac:dyDescent="0.35">
      <c r="AC74" s="1"/>
    </row>
    <row r="75" spans="29:29" x14ac:dyDescent="0.35">
      <c r="AC75" s="1"/>
    </row>
    <row r="76" spans="29:29" x14ac:dyDescent="0.35">
      <c r="AC76" s="1"/>
    </row>
    <row r="77" spans="29:29" x14ac:dyDescent="0.35">
      <c r="AC77" s="1"/>
    </row>
    <row r="78" spans="29:29" x14ac:dyDescent="0.35">
      <c r="AC78" s="1"/>
    </row>
    <row r="79" spans="29:29" x14ac:dyDescent="0.35">
      <c r="AC79" s="1"/>
    </row>
    <row r="80" spans="29:29" x14ac:dyDescent="0.35">
      <c r="AC80" s="1"/>
    </row>
    <row r="81" spans="29:29" x14ac:dyDescent="0.35">
      <c r="AC81" s="1"/>
    </row>
    <row r="82" spans="29:29" x14ac:dyDescent="0.35">
      <c r="AC82" s="1"/>
    </row>
  </sheetData>
  <dataConsolidate>
    <dataRefs count="1">
      <dataRef ref="F5:F61" sheet="VALORES MENSAIS" r:id="rId1"/>
    </dataRefs>
  </dataConsolidate>
  <phoneticPr fontId="22" type="noConversion"/>
  <conditionalFormatting sqref="V5:AD6">
    <cfRule type="cellIs" dxfId="24" priority="4" operator="lessThan">
      <formula>0</formula>
    </cfRule>
  </conditionalFormatting>
  <conditionalFormatting sqref="M12:N12 O16:AD16 O2:AD14">
    <cfRule type="cellIs" dxfId="23" priority="6" operator="equal">
      <formula>0</formula>
    </cfRule>
  </conditionalFormatting>
  <conditionalFormatting sqref="A2:AD41">
    <cfRule type="expression" dxfId="22" priority="1">
      <formula>"MOD(LIGNE(),2)=0"</formula>
    </cfRule>
  </conditionalFormatting>
  <conditionalFormatting sqref="AC43:AC82">
    <cfRule type="dataBar" priority="12">
      <dataBar showValue="0"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{B9A36EE6-C04F-E145-9496-5C0CC4371C86}</x14:id>
        </ext>
      </extLst>
    </cfRule>
  </conditionalFormatting>
  <dataValidations count="1">
    <dataValidation type="list" allowBlank="1" showInputMessage="1" showErrorMessage="1" errorTitle="Catégorie non valide" error="Pour ajouter une nouvelle catégorie, accédez au tableau Liste des catégories de l’onglet Données supplémentaires." sqref="B42" xr:uid="{45ECFBAC-3210-CC49-A0E1-5EE33B415AF4}">
      <formula1>#REF!</formula1>
    </dataValidation>
  </dataValidations>
  <pageMargins left="0.7" right="0.7" top="0.75" bottom="0.75" header="0.3" footer="0.3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A36EE6-C04F-E145-9496-5C0CC4371C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AC43:AC82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atégorie non valide" error="Pour ajouter une nouvelle catégorie, accédez au tableau Liste des catégories de l’onglet Données supplémentaires." xr:uid="{68EE1562-19E4-49A8-ACCF-B8052BD52451}">
          <x14:formula1>
            <xm:f>'DADOS FORMULARIO'!#REF!</xm:f>
          </x14:formula1>
          <xm:sqref>A2:A41</xm:sqref>
        </x14:dataValidation>
        <x14:dataValidation type="list" allowBlank="1" showInputMessage="1" showErrorMessage="1" errorTitle="Catégorie non valide" error="Pour ajouter une nouvelle catégorie, accédez au tableau Liste des catégories de l’onglet Données supplémentaires." xr:uid="{73720E92-A1C7-492C-821B-B3B36C42C2A7}">
          <x14:formula1>
            <xm:f>'DADOS FORMULARIO'!#REF!</xm:f>
          </x14:formula1>
          <xm:sqref>B2:B41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BEE3B-77A6-48C6-BC54-22A2EB33A9F7}">
  <sheetPr codeName="Feuil13">
    <tabColor rgb="FF7030A0"/>
  </sheetPr>
  <dimension ref="A1:AM86"/>
  <sheetViews>
    <sheetView topLeftCell="D1" zoomScale="151" zoomScaleNormal="151" workbookViewId="0">
      <selection activeCell="J4" sqref="J4"/>
    </sheetView>
  </sheetViews>
  <sheetFormatPr baseColWidth="10" defaultColWidth="11.3828125" defaultRowHeight="11.65" x14ac:dyDescent="0.35"/>
  <cols>
    <col min="1" max="1" width="39.69140625" customWidth="1"/>
    <col min="2" max="2" width="35.3046875" customWidth="1"/>
    <col min="3" max="3" width="77.61328125" customWidth="1"/>
    <col min="4" max="4" width="23.3828125" customWidth="1"/>
    <col min="5" max="5" width="24.84375" customWidth="1"/>
    <col min="6" max="6" width="20.53515625" customWidth="1"/>
    <col min="7" max="31" width="18.69140625" customWidth="1"/>
    <col min="32" max="32" width="19.15234375" customWidth="1"/>
    <col min="33" max="33" width="20.3046875" bestFit="1" customWidth="1"/>
    <col min="34" max="34" width="22.3828125" bestFit="1" customWidth="1"/>
    <col min="35" max="35" width="21.3828125" bestFit="1" customWidth="1"/>
    <col min="36" max="36" width="21.15234375" bestFit="1" customWidth="1"/>
    <col min="37" max="39" width="27.3046875" customWidth="1"/>
  </cols>
  <sheetData>
    <row r="1" spans="1:39" ht="60" customHeight="1" thickTop="1" x14ac:dyDescent="0.35">
      <c r="A1" s="78" t="s">
        <v>101</v>
      </c>
      <c r="B1" s="79" t="s">
        <v>102</v>
      </c>
      <c r="C1" s="79" t="s">
        <v>325</v>
      </c>
      <c r="D1" s="80" t="s">
        <v>138</v>
      </c>
      <c r="E1" s="80" t="s">
        <v>139</v>
      </c>
      <c r="F1" s="79" t="s">
        <v>158</v>
      </c>
      <c r="G1" s="79" t="s">
        <v>164</v>
      </c>
      <c r="H1" s="79" t="s">
        <v>165</v>
      </c>
      <c r="I1" s="79" t="s">
        <v>166</v>
      </c>
      <c r="J1" s="79" t="s">
        <v>167</v>
      </c>
      <c r="K1" s="79" t="s">
        <v>168</v>
      </c>
      <c r="L1" s="79" t="s">
        <v>169</v>
      </c>
      <c r="M1" s="79" t="s">
        <v>170</v>
      </c>
      <c r="N1" s="79" t="s">
        <v>171</v>
      </c>
      <c r="O1" s="79" t="s">
        <v>172</v>
      </c>
      <c r="P1" s="79" t="s">
        <v>173</v>
      </c>
      <c r="Q1" s="79" t="s">
        <v>174</v>
      </c>
      <c r="R1" s="79" t="s">
        <v>175</v>
      </c>
      <c r="S1" s="79" t="s">
        <v>176</v>
      </c>
      <c r="T1" s="79" t="s">
        <v>177</v>
      </c>
      <c r="U1" s="79" t="s">
        <v>178</v>
      </c>
      <c r="V1" s="79" t="s">
        <v>179</v>
      </c>
      <c r="W1" s="79" t="s">
        <v>180</v>
      </c>
      <c r="X1" s="79" t="s">
        <v>181</v>
      </c>
      <c r="Y1" s="79" t="s">
        <v>182</v>
      </c>
      <c r="Z1" s="79" t="s">
        <v>183</v>
      </c>
      <c r="AA1" s="79" t="s">
        <v>184</v>
      </c>
      <c r="AB1" s="79" t="s">
        <v>185</v>
      </c>
      <c r="AC1" s="79" t="s">
        <v>186</v>
      </c>
      <c r="AD1" s="79" t="s">
        <v>187</v>
      </c>
      <c r="AE1" s="79" t="s">
        <v>188</v>
      </c>
      <c r="AF1" s="79" t="s">
        <v>189</v>
      </c>
      <c r="AG1" s="97" t="s">
        <v>163</v>
      </c>
      <c r="AH1" s="97" t="s">
        <v>190</v>
      </c>
      <c r="AI1" s="97" t="s">
        <v>191</v>
      </c>
      <c r="AJ1" s="97" t="s">
        <v>199</v>
      </c>
      <c r="AK1" s="97" t="s">
        <v>155</v>
      </c>
      <c r="AL1" s="97" t="s">
        <v>193</v>
      </c>
      <c r="AM1" s="98" t="s">
        <v>156</v>
      </c>
    </row>
    <row r="2" spans="1:39" ht="20.100000000000001" customHeight="1" x14ac:dyDescent="0.35">
      <c r="A2" s="95" t="s">
        <v>95</v>
      </c>
      <c r="B2" s="96" t="s">
        <v>324</v>
      </c>
      <c r="C2" s="117" t="s">
        <v>11</v>
      </c>
      <c r="D2" s="93">
        <v>44441</v>
      </c>
      <c r="E2" s="93">
        <v>48352</v>
      </c>
      <c r="F2" s="94">
        <f xml:space="preserve"> 11455.5 + 2*21.8</f>
        <v>11499.1</v>
      </c>
      <c r="G2" s="94">
        <v>11752.940000000002</v>
      </c>
      <c r="H2" s="94">
        <v>-283.41000000000003</v>
      </c>
      <c r="I2" s="94">
        <v>8.9</v>
      </c>
      <c r="J2" s="94">
        <v>-13.58</v>
      </c>
      <c r="K2" s="94">
        <v>20.67</v>
      </c>
      <c r="L2" s="94">
        <v>-30.97</v>
      </c>
      <c r="M2" s="94">
        <v>13.56</v>
      </c>
      <c r="N2" s="94">
        <v>-20.190000000000001</v>
      </c>
      <c r="O2" s="94">
        <v>0.56999999999999995</v>
      </c>
      <c r="P2" s="94">
        <v>-0.87</v>
      </c>
      <c r="Q2" s="94"/>
      <c r="R2" s="94"/>
      <c r="S2" s="94"/>
      <c r="T2" s="94"/>
      <c r="U2" s="94">
        <v>0.83</v>
      </c>
      <c r="V2" s="94">
        <v>-1.29</v>
      </c>
      <c r="W2" s="94"/>
      <c r="X2" s="94"/>
      <c r="Y2" s="94">
        <v>18.39</v>
      </c>
      <c r="Z2" s="94">
        <v>-27.39</v>
      </c>
      <c r="AA2" s="94"/>
      <c r="AB2" s="94"/>
      <c r="AC2" s="94"/>
      <c r="AD2" s="94"/>
      <c r="AE2" s="94"/>
      <c r="AF2" s="94"/>
      <c r="AG2" s="243">
        <f t="shared" ref="AG2:AG43" si="0">SUM(G2:AF2)</f>
        <v>11438.16</v>
      </c>
      <c r="AH2" s="102">
        <f t="shared" ref="AH2:AI6" si="1">G2 + I2 + K2 + M2 + O2 + Q2 + S2 + U2 + W2 + Y2 + AA2 + AC2 + AE2</f>
        <v>11815.86</v>
      </c>
      <c r="AI2" s="102">
        <f t="shared" si="1"/>
        <v>-377.70000000000005</v>
      </c>
      <c r="AJ2" s="102">
        <f t="shared" ref="AJ2:AJ43" si="2" xml:space="preserve"> IF(E2 &lt; DataReferencia, AG2, 0)</f>
        <v>0</v>
      </c>
      <c r="AK2" s="262">
        <v>-3.2553182222827791E-2</v>
      </c>
      <c r="AL2" s="262">
        <v>-0.39059538170059643</v>
      </c>
      <c r="AM2" s="261">
        <v>-0.92565754841374226</v>
      </c>
    </row>
    <row r="3" spans="1:39" ht="20.100000000000001" customHeight="1" x14ac:dyDescent="0.35">
      <c r="A3" s="89" t="s">
        <v>95</v>
      </c>
      <c r="B3" s="90" t="s">
        <v>324</v>
      </c>
      <c r="C3" s="118" t="s">
        <v>196</v>
      </c>
      <c r="D3" s="91">
        <v>44330</v>
      </c>
      <c r="E3" s="91">
        <v>48351</v>
      </c>
      <c r="F3" s="92">
        <v>3995.28</v>
      </c>
      <c r="G3" s="92">
        <f>'[2]MOVIMENTACOES MENSAIS'!AH55</f>
        <v>3995.28</v>
      </c>
      <c r="H3" s="92">
        <f>'[2]MOVIMENTACOES MENSAIS'!AI55</f>
        <v>0</v>
      </c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243">
        <f t="shared" si="0"/>
        <v>3995.28</v>
      </c>
      <c r="AH3" s="99">
        <f t="shared" si="1"/>
        <v>3995.28</v>
      </c>
      <c r="AI3" s="99">
        <f t="shared" si="1"/>
        <v>0</v>
      </c>
      <c r="AJ3" s="99">
        <f t="shared" si="2"/>
        <v>0</v>
      </c>
      <c r="AK3" s="262">
        <v>-2.2070101428702263E-2</v>
      </c>
      <c r="AL3" s="262">
        <v>-0.26481219662972799</v>
      </c>
      <c r="AM3" s="261">
        <v>-0.70810055865921784</v>
      </c>
    </row>
    <row r="4" spans="1:39" ht="20.100000000000001" customHeight="1" x14ac:dyDescent="0.35">
      <c r="A4" s="95" t="s">
        <v>95</v>
      </c>
      <c r="B4" s="96" t="s">
        <v>121</v>
      </c>
      <c r="C4" s="319" t="s">
        <v>302</v>
      </c>
      <c r="D4" s="93">
        <v>44417</v>
      </c>
      <c r="E4" s="93">
        <v>48351</v>
      </c>
      <c r="F4" s="94">
        <v>25087.57</v>
      </c>
      <c r="G4" s="306">
        <v>25120.219999999998</v>
      </c>
      <c r="H4" s="102">
        <v>-5467.63</v>
      </c>
      <c r="I4" s="94">
        <v>0.99</v>
      </c>
      <c r="J4" s="94">
        <v>-331.57</v>
      </c>
      <c r="K4" s="94"/>
      <c r="L4" s="94">
        <v>-122.87</v>
      </c>
      <c r="M4" s="94"/>
      <c r="N4" s="94">
        <f xml:space="preserve"> -(392.13 + 6.46)</f>
        <v>-398.59</v>
      </c>
      <c r="O4" s="94"/>
      <c r="P4" s="94">
        <v>-97.12</v>
      </c>
      <c r="Q4" s="94"/>
      <c r="R4" s="94">
        <v>-113.62</v>
      </c>
      <c r="S4" s="94"/>
      <c r="T4" s="94">
        <v>-290.10000000000002</v>
      </c>
      <c r="U4" s="94">
        <v>0.87</v>
      </c>
      <c r="V4" s="94">
        <v>-197.76</v>
      </c>
      <c r="W4" s="94"/>
      <c r="X4" s="94">
        <v>-157.74</v>
      </c>
      <c r="Y4" s="264">
        <v>0.09</v>
      </c>
      <c r="Z4" s="94">
        <v>-183.07</v>
      </c>
      <c r="AA4" s="94"/>
      <c r="AB4" s="94">
        <v>-104.37</v>
      </c>
      <c r="AC4" s="94"/>
      <c r="AD4" s="94">
        <v>-113.99</v>
      </c>
      <c r="AE4" s="94">
        <v>0.17</v>
      </c>
      <c r="AF4" s="94">
        <v>-167.34</v>
      </c>
      <c r="AG4" s="243">
        <f t="shared" si="0"/>
        <v>17376.57</v>
      </c>
      <c r="AH4" s="102">
        <f t="shared" si="1"/>
        <v>25122.339999999997</v>
      </c>
      <c r="AI4" s="102">
        <f t="shared" si="1"/>
        <v>-7745.7699999999995</v>
      </c>
      <c r="AJ4" s="102">
        <f t="shared" si="2"/>
        <v>0</v>
      </c>
      <c r="AK4" s="262">
        <v>-4.2275727374535711E-3</v>
      </c>
      <c r="AL4" s="262">
        <v>-5.072531391093206E-2</v>
      </c>
      <c r="AM4" s="261">
        <v>-0.12354740840224275</v>
      </c>
    </row>
    <row r="5" spans="1:39" ht="20.100000000000001" customHeight="1" x14ac:dyDescent="0.35">
      <c r="A5" s="290" t="s">
        <v>94</v>
      </c>
      <c r="B5" s="291" t="s">
        <v>3</v>
      </c>
      <c r="C5" s="119" t="s">
        <v>220</v>
      </c>
      <c r="D5" s="87">
        <v>44636</v>
      </c>
      <c r="E5" s="87">
        <v>45001</v>
      </c>
      <c r="F5" s="88">
        <v>30580.09</v>
      </c>
      <c r="G5" s="88">
        <f>'[2]MOVIMENTACOES MENSAIS'!AH25</f>
        <v>30580.09</v>
      </c>
      <c r="H5" s="88">
        <f>'[2]MOVIMENTACOES MENSAIS'!AI25</f>
        <v>0</v>
      </c>
      <c r="I5" s="88"/>
      <c r="J5" s="88"/>
      <c r="K5" s="88"/>
      <c r="L5" s="88"/>
      <c r="M5" s="88">
        <v>644.73</v>
      </c>
      <c r="N5" s="88">
        <v>-33684.19</v>
      </c>
      <c r="O5" s="88">
        <v>0</v>
      </c>
      <c r="P5" s="88">
        <v>0</v>
      </c>
      <c r="Q5" s="88">
        <v>0</v>
      </c>
      <c r="R5" s="88">
        <v>0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>
        <v>0</v>
      </c>
      <c r="AE5" s="88">
        <v>0</v>
      </c>
      <c r="AF5" s="88">
        <v>0</v>
      </c>
      <c r="AG5" s="243">
        <f t="shared" si="0"/>
        <v>-2459.3700000000026</v>
      </c>
      <c r="AH5" s="102">
        <f t="shared" si="1"/>
        <v>31224.82</v>
      </c>
      <c r="AI5" s="99">
        <f t="shared" si="1"/>
        <v>-33684.19</v>
      </c>
      <c r="AJ5" s="102">
        <f t="shared" si="2"/>
        <v>0</v>
      </c>
      <c r="AK5" s="262">
        <v>6.5643279929235862E-3</v>
      </c>
      <c r="AL5" s="262">
        <v>7.8763304320089045E-2</v>
      </c>
      <c r="AM5" s="261">
        <v>7.8763304320089045E-2</v>
      </c>
    </row>
    <row r="6" spans="1:39" ht="20.100000000000001" customHeight="1" x14ac:dyDescent="0.35">
      <c r="A6" s="294" t="s">
        <v>94</v>
      </c>
      <c r="B6" s="286" t="s">
        <v>3</v>
      </c>
      <c r="C6" s="120" t="s">
        <v>217</v>
      </c>
      <c r="D6" s="83">
        <v>44643</v>
      </c>
      <c r="E6" s="83">
        <v>45008</v>
      </c>
      <c r="F6" s="84">
        <v>10000</v>
      </c>
      <c r="G6" s="84">
        <f>'[2]MOVIMENTACOES MENSAIS'!AH27</f>
        <v>10000</v>
      </c>
      <c r="H6" s="84">
        <f>'[2]MOVIMENTACOES MENSAIS'!AI27</f>
        <v>0</v>
      </c>
      <c r="I6" s="84"/>
      <c r="J6" s="84"/>
      <c r="K6" s="84"/>
      <c r="L6" s="84"/>
      <c r="M6" s="84">
        <v>246.22</v>
      </c>
      <c r="N6" s="84">
        <v>-11407</v>
      </c>
      <c r="O6" s="84">
        <v>0</v>
      </c>
      <c r="P6" s="84">
        <v>0</v>
      </c>
      <c r="Q6" s="84">
        <v>0</v>
      </c>
      <c r="R6" s="84">
        <v>0</v>
      </c>
      <c r="S6" s="84">
        <v>0</v>
      </c>
      <c r="T6" s="84">
        <v>0</v>
      </c>
      <c r="U6" s="84">
        <v>0</v>
      </c>
      <c r="V6" s="84">
        <v>0</v>
      </c>
      <c r="W6" s="84">
        <v>0</v>
      </c>
      <c r="X6" s="84">
        <v>0</v>
      </c>
      <c r="Y6" s="84">
        <v>0</v>
      </c>
      <c r="Z6" s="84">
        <v>0</v>
      </c>
      <c r="AA6" s="84">
        <v>0</v>
      </c>
      <c r="AB6" s="84">
        <v>0</v>
      </c>
      <c r="AC6" s="84">
        <v>0</v>
      </c>
      <c r="AD6" s="84">
        <v>0</v>
      </c>
      <c r="AE6" s="84">
        <v>0</v>
      </c>
      <c r="AF6" s="84">
        <v>0</v>
      </c>
      <c r="AG6" s="243">
        <f t="shared" si="0"/>
        <v>-1160.7800000000007</v>
      </c>
      <c r="AH6" s="99">
        <f t="shared" si="1"/>
        <v>10246.219999999999</v>
      </c>
      <c r="AI6" s="99">
        <f t="shared" si="1"/>
        <v>-11407</v>
      </c>
      <c r="AJ6" s="99">
        <f t="shared" si="2"/>
        <v>0</v>
      </c>
      <c r="AK6" s="100">
        <v>9.4417519238568313E-3</v>
      </c>
      <c r="AL6" s="100">
        <v>0.11328860789637551</v>
      </c>
      <c r="AM6" s="101">
        <v>0.11328860789637551</v>
      </c>
    </row>
    <row r="7" spans="1:39" ht="20.100000000000001" customHeight="1" x14ac:dyDescent="0.35">
      <c r="A7" s="290" t="s">
        <v>94</v>
      </c>
      <c r="B7" s="291" t="s">
        <v>3</v>
      </c>
      <c r="C7" s="119" t="s">
        <v>303</v>
      </c>
      <c r="D7" s="87">
        <v>44641</v>
      </c>
      <c r="E7" s="87">
        <v>45372</v>
      </c>
      <c r="F7" s="88">
        <v>10000</v>
      </c>
      <c r="G7" s="88">
        <f>'[2]MOVIMENTACOES MENSAIS'!AH33</f>
        <v>10000</v>
      </c>
      <c r="H7" s="88">
        <f>'[2]MOVIMENTACOES MENSAIS'!AI33</f>
        <v>0</v>
      </c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243">
        <f t="shared" si="0"/>
        <v>10000</v>
      </c>
      <c r="AH7" s="102">
        <f t="shared" ref="AH7:AH43" si="3">G7 + I7 + K7 + M7 + O7 + Q7 + S7 + U7 + W7 + Y7 + AA7 + AC7 + AE7</f>
        <v>10000</v>
      </c>
      <c r="AI7" s="102"/>
      <c r="AJ7" s="102">
        <f t="shared" si="2"/>
        <v>0</v>
      </c>
      <c r="AK7" s="262">
        <v>9.529007819548874E-3</v>
      </c>
      <c r="AL7" s="262">
        <v>0.11433556390977445</v>
      </c>
      <c r="AM7" s="261">
        <v>0.20831000000000002</v>
      </c>
    </row>
    <row r="8" spans="1:39" ht="20.100000000000001" customHeight="1" x14ac:dyDescent="0.35">
      <c r="A8" s="292" t="s">
        <v>94</v>
      </c>
      <c r="B8" s="293" t="s">
        <v>3</v>
      </c>
      <c r="C8" s="119" t="s">
        <v>238</v>
      </c>
      <c r="D8" s="87">
        <v>44641</v>
      </c>
      <c r="E8" s="87">
        <v>45006</v>
      </c>
      <c r="F8" s="88">
        <v>10000</v>
      </c>
      <c r="G8" s="88">
        <f>'[2]MOVIMENTACOES MENSAIS'!AH26</f>
        <v>10000</v>
      </c>
      <c r="H8" s="88">
        <f>'[2]MOVIMENTACOES MENSAIS'!AI26</f>
        <v>0</v>
      </c>
      <c r="I8" s="88"/>
      <c r="J8" s="88"/>
      <c r="K8" s="88"/>
      <c r="L8" s="88"/>
      <c r="M8" s="88">
        <v>265.98</v>
      </c>
      <c r="N8" s="88">
        <v>-11519.93</v>
      </c>
      <c r="O8" s="88">
        <v>0</v>
      </c>
      <c r="P8" s="88">
        <v>0</v>
      </c>
      <c r="Q8" s="88">
        <v>0</v>
      </c>
      <c r="R8" s="88">
        <v>0</v>
      </c>
      <c r="S8" s="88">
        <v>0</v>
      </c>
      <c r="T8" s="88">
        <v>0</v>
      </c>
      <c r="U8" s="88">
        <v>0</v>
      </c>
      <c r="V8" s="88">
        <v>0</v>
      </c>
      <c r="W8" s="88">
        <v>0</v>
      </c>
      <c r="X8" s="88">
        <v>0</v>
      </c>
      <c r="Y8" s="88">
        <v>0</v>
      </c>
      <c r="Z8" s="88">
        <v>0</v>
      </c>
      <c r="AA8" s="88">
        <v>0</v>
      </c>
      <c r="AB8" s="88">
        <v>0</v>
      </c>
      <c r="AC8" s="88">
        <v>0</v>
      </c>
      <c r="AD8" s="88">
        <v>0</v>
      </c>
      <c r="AE8" s="88">
        <v>0</v>
      </c>
      <c r="AF8" s="88">
        <v>0</v>
      </c>
      <c r="AG8" s="243">
        <f t="shared" si="0"/>
        <v>-1253.9500000000007</v>
      </c>
      <c r="AH8" s="102">
        <f t="shared" si="3"/>
        <v>10265.98</v>
      </c>
      <c r="AI8" s="102">
        <f t="shared" ref="AI8:AI43" si="4">H8 + J8 + L8 + N8 + P8 + R8 + T8 + V8 + X8 + Z8 + AB8 + AD8 + AF8</f>
        <v>-11519.93</v>
      </c>
      <c r="AJ8" s="102">
        <f t="shared" si="2"/>
        <v>0</v>
      </c>
      <c r="AK8" s="262">
        <v>1.0179961867401546E-2</v>
      </c>
      <c r="AL8" s="262">
        <v>0.12214615652865102</v>
      </c>
      <c r="AM8" s="261">
        <v>0.12214615652865102</v>
      </c>
    </row>
    <row r="9" spans="1:39" ht="20.100000000000001" customHeight="1" x14ac:dyDescent="0.35">
      <c r="A9" s="295" t="s">
        <v>94</v>
      </c>
      <c r="B9" s="283" t="s">
        <v>3</v>
      </c>
      <c r="C9" s="275" t="s">
        <v>225</v>
      </c>
      <c r="D9" s="93">
        <v>44449</v>
      </c>
      <c r="E9" s="93">
        <v>45545</v>
      </c>
      <c r="F9" s="94">
        <v>6000</v>
      </c>
      <c r="G9" s="94">
        <f>'[2]MOVIMENTACOES MENSAIS'!AH40</f>
        <v>6000</v>
      </c>
      <c r="H9" s="94">
        <f>'[2]MOVIMENTACOES MENSAIS'!AI40</f>
        <v>0</v>
      </c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4"/>
      <c r="AD9" s="94"/>
      <c r="AE9" s="94"/>
      <c r="AF9" s="94"/>
      <c r="AG9" s="243">
        <f t="shared" si="0"/>
        <v>6000</v>
      </c>
      <c r="AH9" s="102">
        <f t="shared" si="3"/>
        <v>6000</v>
      </c>
      <c r="AI9" s="102">
        <f t="shared" si="4"/>
        <v>0</v>
      </c>
      <c r="AJ9" s="102">
        <f t="shared" si="2"/>
        <v>0</v>
      </c>
      <c r="AK9" s="262">
        <v>1.0864944924154026E-2</v>
      </c>
      <c r="AL9" s="262">
        <v>0.13036505250875144</v>
      </c>
      <c r="AM9" s="261">
        <v>0.30608999999999997</v>
      </c>
    </row>
    <row r="10" spans="1:39" ht="20.100000000000001" customHeight="1" x14ac:dyDescent="0.35">
      <c r="A10" s="294" t="s">
        <v>94</v>
      </c>
      <c r="B10" s="286" t="s">
        <v>3</v>
      </c>
      <c r="C10" s="120" t="s">
        <v>282</v>
      </c>
      <c r="D10" s="83">
        <v>45015</v>
      </c>
      <c r="E10" s="91">
        <v>46111</v>
      </c>
      <c r="F10" s="84">
        <v>15000</v>
      </c>
      <c r="G10" s="84"/>
      <c r="H10" s="84"/>
      <c r="I10" s="84"/>
      <c r="J10" s="84">
        <v>0</v>
      </c>
      <c r="K10" s="84">
        <v>0</v>
      </c>
      <c r="L10" s="84">
        <v>0</v>
      </c>
      <c r="M10" s="84">
        <v>15000</v>
      </c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  <c r="AC10" s="84"/>
      <c r="AD10" s="84"/>
      <c r="AE10" s="84"/>
      <c r="AF10" s="84"/>
      <c r="AG10" s="243">
        <f t="shared" si="0"/>
        <v>15000</v>
      </c>
      <c r="AH10" s="99">
        <f t="shared" si="3"/>
        <v>15000</v>
      </c>
      <c r="AI10" s="102">
        <f t="shared" si="4"/>
        <v>0</v>
      </c>
      <c r="AJ10" s="99">
        <f t="shared" si="2"/>
        <v>0</v>
      </c>
      <c r="AK10" s="262">
        <v>1.1658839587628858E-2</v>
      </c>
      <c r="AL10" s="262">
        <v>0.13989074455899186</v>
      </c>
      <c r="AM10" s="261">
        <v>0.11152933333333324</v>
      </c>
    </row>
    <row r="11" spans="1:39" ht="20.100000000000001" customHeight="1" x14ac:dyDescent="0.35">
      <c r="A11" s="292" t="s">
        <v>94</v>
      </c>
      <c r="B11" s="293" t="s">
        <v>3</v>
      </c>
      <c r="C11" s="273" t="s">
        <v>226</v>
      </c>
      <c r="D11" s="87">
        <v>44665</v>
      </c>
      <c r="E11" s="93">
        <v>45397</v>
      </c>
      <c r="F11" s="88">
        <v>11000</v>
      </c>
      <c r="G11" s="88">
        <f>'[2]MOVIMENTACOES MENSAIS'!AH36</f>
        <v>11000</v>
      </c>
      <c r="H11" s="88">
        <f>'[2]MOVIMENTACOES MENSAIS'!AI36</f>
        <v>0</v>
      </c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243">
        <f t="shared" si="0"/>
        <v>11000</v>
      </c>
      <c r="AH11" s="102">
        <f t="shared" si="3"/>
        <v>11000</v>
      </c>
      <c r="AI11" s="102">
        <f t="shared" si="4"/>
        <v>0</v>
      </c>
      <c r="AJ11" s="102">
        <f t="shared" si="2"/>
        <v>0</v>
      </c>
      <c r="AK11" s="262">
        <v>1.2022910707701038E-2</v>
      </c>
      <c r="AL11" s="262">
        <v>0.1442591192738619</v>
      </c>
      <c r="AM11" s="261">
        <v>0.25334272727272733</v>
      </c>
    </row>
    <row r="12" spans="1:39" ht="20.100000000000001" customHeight="1" x14ac:dyDescent="0.35">
      <c r="A12" s="294" t="s">
        <v>94</v>
      </c>
      <c r="B12" s="286" t="s">
        <v>3</v>
      </c>
      <c r="C12" s="274" t="s">
        <v>219</v>
      </c>
      <c r="D12" s="83">
        <v>44650</v>
      </c>
      <c r="E12" s="83">
        <v>46476</v>
      </c>
      <c r="F12" s="84">
        <v>37000</v>
      </c>
      <c r="G12" s="84">
        <f>'[2]MOVIMENTACOES MENSAIS'!AH51</f>
        <v>37000</v>
      </c>
      <c r="H12" s="84">
        <f>'[2]MOVIMENTACOES MENSAIS'!AI51</f>
        <v>0</v>
      </c>
      <c r="I12" s="84"/>
      <c r="J12" s="84"/>
      <c r="K12" s="84"/>
      <c r="L12" s="84"/>
      <c r="M12" s="84"/>
      <c r="N12" s="84"/>
      <c r="O12" s="84"/>
      <c r="P12" s="84"/>
      <c r="Q12" s="84"/>
      <c r="R12" s="84"/>
      <c r="S12" s="84"/>
      <c r="T12" s="84"/>
      <c r="U12" s="84"/>
      <c r="V12" s="84"/>
      <c r="W12" s="84"/>
      <c r="X12" s="84"/>
      <c r="Y12" s="84"/>
      <c r="Z12" s="84"/>
      <c r="AA12" s="84"/>
      <c r="AB12" s="84"/>
      <c r="AC12" s="84"/>
      <c r="AD12" s="84"/>
      <c r="AE12" s="84"/>
      <c r="AF12" s="84"/>
      <c r="AG12" s="243">
        <f t="shared" si="0"/>
        <v>37000</v>
      </c>
      <c r="AH12" s="99">
        <f t="shared" si="3"/>
        <v>37000</v>
      </c>
      <c r="AI12" s="99">
        <f t="shared" si="4"/>
        <v>0</v>
      </c>
      <c r="AJ12" s="99">
        <f t="shared" si="2"/>
        <v>0</v>
      </c>
      <c r="AK12" s="100">
        <v>1.251493739288069E-2</v>
      </c>
      <c r="AL12" s="100">
        <v>0.15016279251812795</v>
      </c>
      <c r="AM12" s="101">
        <v>0.26988162162162171</v>
      </c>
    </row>
    <row r="13" spans="1:39" ht="20.100000000000001" customHeight="1" x14ac:dyDescent="0.35">
      <c r="A13" s="294" t="s">
        <v>94</v>
      </c>
      <c r="B13" s="286" t="s">
        <v>3</v>
      </c>
      <c r="C13" s="274" t="s">
        <v>287</v>
      </c>
      <c r="D13" s="83">
        <v>44887</v>
      </c>
      <c r="E13" s="91">
        <v>45618</v>
      </c>
      <c r="F13" s="84">
        <v>8000</v>
      </c>
      <c r="G13" s="84">
        <f>'[2]MOVIMENTACOES MENSAIS'!AH43</f>
        <v>8000</v>
      </c>
      <c r="H13" s="84">
        <f>'[2]MOVIMENTACOES MENSAIS'!AI43</f>
        <v>0</v>
      </c>
      <c r="I13" s="84"/>
      <c r="J13" s="84"/>
      <c r="K13" s="84"/>
      <c r="L13" s="84"/>
      <c r="M13" s="84"/>
      <c r="N13" s="84"/>
      <c r="O13" s="84"/>
      <c r="P13" s="84"/>
      <c r="Q13" s="84"/>
      <c r="R13" s="84"/>
      <c r="S13" s="84"/>
      <c r="T13" s="84"/>
      <c r="U13" s="84"/>
      <c r="V13" s="84"/>
      <c r="W13" s="84"/>
      <c r="X13" s="84"/>
      <c r="Y13" s="84"/>
      <c r="Z13" s="84"/>
      <c r="AA13" s="84"/>
      <c r="AB13" s="84"/>
      <c r="AC13" s="84"/>
      <c r="AD13" s="84"/>
      <c r="AE13" s="84"/>
      <c r="AF13" s="84"/>
      <c r="AG13" s="243">
        <f t="shared" si="0"/>
        <v>8000</v>
      </c>
      <c r="AH13" s="99">
        <f t="shared" si="3"/>
        <v>8000</v>
      </c>
      <c r="AI13" s="99">
        <f t="shared" si="4"/>
        <v>0</v>
      </c>
      <c r="AJ13" s="99">
        <f t="shared" si="2"/>
        <v>0</v>
      </c>
      <c r="AK13" s="100">
        <v>1.3426545823389016E-2</v>
      </c>
      <c r="AL13" s="100">
        <v>0.16110089498806676</v>
      </c>
      <c r="AM13" s="101">
        <v>0.18493499999999993</v>
      </c>
    </row>
    <row r="14" spans="1:39" ht="20.100000000000001" customHeight="1" x14ac:dyDescent="0.35">
      <c r="A14" s="85" t="s">
        <v>1</v>
      </c>
      <c r="B14" s="86" t="s">
        <v>1</v>
      </c>
      <c r="C14" s="119" t="s">
        <v>241</v>
      </c>
      <c r="D14" s="87">
        <v>44650</v>
      </c>
      <c r="E14" s="87">
        <v>45386</v>
      </c>
      <c r="F14" s="88">
        <v>9000</v>
      </c>
      <c r="G14" s="88">
        <v>9000</v>
      </c>
      <c r="H14" s="88">
        <v>0</v>
      </c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243">
        <f t="shared" si="0"/>
        <v>9000</v>
      </c>
      <c r="AH14" s="102">
        <f t="shared" si="3"/>
        <v>9000</v>
      </c>
      <c r="AI14" s="102">
        <f t="shared" si="4"/>
        <v>0</v>
      </c>
      <c r="AJ14" s="102">
        <f t="shared" si="2"/>
        <v>0</v>
      </c>
      <c r="AK14" s="262">
        <v>0</v>
      </c>
      <c r="AL14" s="262">
        <v>0</v>
      </c>
      <c r="AM14" s="261">
        <v>0</v>
      </c>
    </row>
    <row r="15" spans="1:39" ht="20.100000000000001" customHeight="1" x14ac:dyDescent="0.35">
      <c r="A15" s="85" t="s">
        <v>1</v>
      </c>
      <c r="B15" s="86" t="s">
        <v>1</v>
      </c>
      <c r="C15" s="119" t="s">
        <v>223</v>
      </c>
      <c r="D15" s="87">
        <v>44498</v>
      </c>
      <c r="E15" s="87">
        <v>45610</v>
      </c>
      <c r="F15" s="88">
        <v>20000</v>
      </c>
      <c r="G15" s="88">
        <v>20000</v>
      </c>
      <c r="H15" s="88">
        <v>0</v>
      </c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243">
        <f t="shared" si="0"/>
        <v>20000</v>
      </c>
      <c r="AH15" s="102">
        <f t="shared" si="3"/>
        <v>20000</v>
      </c>
      <c r="AI15" s="102">
        <f t="shared" si="4"/>
        <v>0</v>
      </c>
      <c r="AJ15" s="102">
        <f t="shared" si="2"/>
        <v>0</v>
      </c>
      <c r="AK15" s="262">
        <v>0</v>
      </c>
      <c r="AL15" s="262">
        <v>0</v>
      </c>
      <c r="AM15" s="261">
        <v>0</v>
      </c>
    </row>
    <row r="16" spans="1:39" ht="20.100000000000001" customHeight="1" x14ac:dyDescent="0.35">
      <c r="A16" s="89" t="s">
        <v>1</v>
      </c>
      <c r="B16" s="90" t="s">
        <v>1</v>
      </c>
      <c r="C16" s="118" t="s">
        <v>224</v>
      </c>
      <c r="D16" s="91">
        <v>44090</v>
      </c>
      <c r="E16" s="91">
        <v>45917</v>
      </c>
      <c r="F16" s="92">
        <v>30000</v>
      </c>
      <c r="G16" s="92">
        <f>'[2]MOVIMENTACOES MENSAIS'!AH35</f>
        <v>30000</v>
      </c>
      <c r="H16" s="92">
        <f>'[2]MOVIMENTACOES MENSAIS'!AI35</f>
        <v>0</v>
      </c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243">
        <f t="shared" si="0"/>
        <v>30000</v>
      </c>
      <c r="AH16" s="99">
        <f t="shared" si="3"/>
        <v>30000</v>
      </c>
      <c r="AI16" s="99">
        <f t="shared" si="4"/>
        <v>0</v>
      </c>
      <c r="AJ16" s="99">
        <f t="shared" si="2"/>
        <v>0</v>
      </c>
      <c r="AK16" s="100">
        <v>0</v>
      </c>
      <c r="AL16" s="100">
        <v>0</v>
      </c>
      <c r="AM16" s="101">
        <v>0</v>
      </c>
    </row>
    <row r="17" spans="1:39" ht="20.100000000000001" customHeight="1" x14ac:dyDescent="0.35">
      <c r="A17" s="85" t="s">
        <v>1</v>
      </c>
      <c r="B17" s="86" t="s">
        <v>1</v>
      </c>
      <c r="C17" s="119" t="s">
        <v>237</v>
      </c>
      <c r="D17" s="87">
        <v>44075</v>
      </c>
      <c r="E17" s="87">
        <v>46084</v>
      </c>
      <c r="F17" s="88">
        <v>30000</v>
      </c>
      <c r="G17" s="88">
        <f>'[2]MOVIMENTACOES MENSAIS'!AH34</f>
        <v>30000</v>
      </c>
      <c r="H17" s="88">
        <f>'[2]MOVIMENTACOES MENSAIS'!AI34</f>
        <v>0</v>
      </c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243">
        <f t="shared" si="0"/>
        <v>30000</v>
      </c>
      <c r="AH17" s="102">
        <f t="shared" si="3"/>
        <v>30000</v>
      </c>
      <c r="AI17" s="102">
        <f t="shared" si="4"/>
        <v>0</v>
      </c>
      <c r="AJ17" s="102">
        <f t="shared" si="2"/>
        <v>0</v>
      </c>
      <c r="AK17" s="262">
        <v>0</v>
      </c>
      <c r="AL17" s="262">
        <v>0</v>
      </c>
      <c r="AM17" s="261">
        <v>0</v>
      </c>
    </row>
    <row r="18" spans="1:39" ht="20.100000000000001" customHeight="1" x14ac:dyDescent="0.35">
      <c r="A18" s="85" t="s">
        <v>1</v>
      </c>
      <c r="B18" s="86" t="s">
        <v>1</v>
      </c>
      <c r="C18" s="119" t="s">
        <v>221</v>
      </c>
      <c r="D18" s="87">
        <v>44375</v>
      </c>
      <c r="E18" s="93">
        <v>48353</v>
      </c>
      <c r="F18" s="88">
        <v>12000</v>
      </c>
      <c r="G18" s="88">
        <v>12000</v>
      </c>
      <c r="H18" s="88">
        <v>0</v>
      </c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243">
        <f t="shared" si="0"/>
        <v>12000</v>
      </c>
      <c r="AH18" s="102">
        <f t="shared" si="3"/>
        <v>12000</v>
      </c>
      <c r="AI18" s="102">
        <f t="shared" si="4"/>
        <v>0</v>
      </c>
      <c r="AJ18" s="102">
        <f t="shared" si="2"/>
        <v>0</v>
      </c>
      <c r="AK18" s="100">
        <v>5.2657749731471379E-4</v>
      </c>
      <c r="AL18" s="100">
        <v>6.318237558181148E-3</v>
      </c>
      <c r="AM18" s="101">
        <v>1.6115833333333284E-2</v>
      </c>
    </row>
    <row r="19" spans="1:39" ht="20.100000000000001" customHeight="1" x14ac:dyDescent="0.35">
      <c r="A19" s="85" t="s">
        <v>1</v>
      </c>
      <c r="B19" s="86" t="s">
        <v>1</v>
      </c>
      <c r="C19" s="119" t="s">
        <v>214</v>
      </c>
      <c r="D19" s="87">
        <v>44515</v>
      </c>
      <c r="E19" s="87">
        <v>46343</v>
      </c>
      <c r="F19" s="88">
        <v>7000</v>
      </c>
      <c r="G19" s="88">
        <v>7000</v>
      </c>
      <c r="H19" s="88">
        <v>0</v>
      </c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243">
        <f t="shared" si="0"/>
        <v>7000</v>
      </c>
      <c r="AH19" s="102">
        <f t="shared" si="3"/>
        <v>7000</v>
      </c>
      <c r="AI19" s="102">
        <f t="shared" si="4"/>
        <v>0</v>
      </c>
      <c r="AJ19" s="102">
        <f t="shared" si="2"/>
        <v>0</v>
      </c>
      <c r="AK19" s="262">
        <v>8.2530113780025435E-4</v>
      </c>
      <c r="AL19" s="262">
        <v>9.9025284450063381E-3</v>
      </c>
      <c r="AM19" s="261">
        <v>2.1460000000000038E-2</v>
      </c>
    </row>
    <row r="20" spans="1:39" ht="20.100000000000001" customHeight="1" x14ac:dyDescent="0.35">
      <c r="A20" s="85" t="s">
        <v>1</v>
      </c>
      <c r="B20" s="86" t="s">
        <v>1</v>
      </c>
      <c r="C20" s="119" t="s">
        <v>213</v>
      </c>
      <c r="D20" s="87">
        <v>44006</v>
      </c>
      <c r="E20" s="87">
        <v>45107</v>
      </c>
      <c r="F20" s="88">
        <v>10000</v>
      </c>
      <c r="G20" s="88">
        <f>'[2]MOVIMENTACOES MENSAIS'!AH20</f>
        <v>10000</v>
      </c>
      <c r="H20" s="88">
        <f>'[2]MOVIMENTACOES MENSAIS'!AI20</f>
        <v>0</v>
      </c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>
        <v>90.14</v>
      </c>
      <c r="T20" s="88">
        <v>-10600.97</v>
      </c>
      <c r="U20" s="88">
        <v>0</v>
      </c>
      <c r="V20" s="88">
        <v>0</v>
      </c>
      <c r="W20" s="88">
        <v>0</v>
      </c>
      <c r="X20" s="88">
        <v>0</v>
      </c>
      <c r="Y20" s="88">
        <v>0</v>
      </c>
      <c r="Z20" s="88">
        <v>0</v>
      </c>
      <c r="AA20" s="88">
        <v>0</v>
      </c>
      <c r="AB20" s="88">
        <v>0</v>
      </c>
      <c r="AC20" s="88">
        <v>0</v>
      </c>
      <c r="AD20" s="88">
        <v>0</v>
      </c>
      <c r="AE20" s="88">
        <v>0</v>
      </c>
      <c r="AF20" s="88">
        <v>0</v>
      </c>
      <c r="AG20" s="243">
        <f t="shared" si="0"/>
        <v>-510.82999999999993</v>
      </c>
      <c r="AH20" s="102">
        <f t="shared" si="3"/>
        <v>10090.14</v>
      </c>
      <c r="AI20" s="102">
        <f t="shared" si="4"/>
        <v>-10600.97</v>
      </c>
      <c r="AJ20" s="102">
        <f t="shared" si="2"/>
        <v>0</v>
      </c>
      <c r="AK20" s="262">
        <v>1.3987854082753105E-3</v>
      </c>
      <c r="AL20" s="262">
        <v>1.6783585602251423E-2</v>
      </c>
      <c r="AM20" s="261">
        <v>5.0626651364599498E-2</v>
      </c>
    </row>
    <row r="21" spans="1:39" ht="20.100000000000001" customHeight="1" x14ac:dyDescent="0.35">
      <c r="A21" s="81" t="s">
        <v>1</v>
      </c>
      <c r="B21" s="82" t="s">
        <v>1</v>
      </c>
      <c r="C21" s="120" t="s">
        <v>280</v>
      </c>
      <c r="D21" s="83">
        <v>44651</v>
      </c>
      <c r="E21" s="83">
        <v>45379</v>
      </c>
      <c r="F21" s="84">
        <v>6100</v>
      </c>
      <c r="G21" s="84">
        <v>6100</v>
      </c>
      <c r="H21" s="84">
        <v>0</v>
      </c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F21" s="84"/>
      <c r="AG21" s="243">
        <f t="shared" si="0"/>
        <v>6100</v>
      </c>
      <c r="AH21" s="99">
        <f t="shared" si="3"/>
        <v>6100</v>
      </c>
      <c r="AI21" s="102">
        <f t="shared" si="4"/>
        <v>0</v>
      </c>
      <c r="AJ21" s="99">
        <f t="shared" si="2"/>
        <v>0</v>
      </c>
      <c r="AK21" s="262">
        <v>3.0808291828306818E-3</v>
      </c>
      <c r="AL21" s="262">
        <v>3.6965899136528563E-2</v>
      </c>
      <c r="AM21" s="261">
        <v>6.6336065573770434E-2</v>
      </c>
    </row>
    <row r="22" spans="1:39" ht="20.100000000000001" customHeight="1" x14ac:dyDescent="0.35">
      <c r="A22" s="81" t="s">
        <v>1</v>
      </c>
      <c r="B22" s="82" t="s">
        <v>1</v>
      </c>
      <c r="C22" s="120" t="s">
        <v>235</v>
      </c>
      <c r="D22" s="91">
        <v>44407</v>
      </c>
      <c r="E22" s="91">
        <v>45155</v>
      </c>
      <c r="F22" s="92">
        <v>10000</v>
      </c>
      <c r="G22" s="92">
        <v>10000</v>
      </c>
      <c r="H22" s="92">
        <v>0</v>
      </c>
      <c r="I22" s="84"/>
      <c r="J22" s="84"/>
      <c r="K22" s="84"/>
      <c r="L22" s="84"/>
      <c r="M22" s="84"/>
      <c r="N22" s="84"/>
      <c r="O22" s="84"/>
      <c r="P22" s="84"/>
      <c r="Q22" s="92"/>
      <c r="R22" s="92"/>
      <c r="S22" s="92"/>
      <c r="T22" s="92"/>
      <c r="U22" s="92"/>
      <c r="V22" s="92"/>
      <c r="W22" s="92">
        <v>144.30000000000001</v>
      </c>
      <c r="X22" s="92">
        <v>-10962</v>
      </c>
      <c r="Y22" s="92"/>
      <c r="Z22" s="92"/>
      <c r="AA22" s="92"/>
      <c r="AB22" s="92"/>
      <c r="AC22" s="92"/>
      <c r="AD22" s="92"/>
      <c r="AE22" s="92"/>
      <c r="AF22" s="92"/>
      <c r="AG22" s="243">
        <f t="shared" si="0"/>
        <v>-817.70000000000073</v>
      </c>
      <c r="AH22" s="99">
        <f t="shared" si="3"/>
        <v>10144.299999999999</v>
      </c>
      <c r="AI22" s="99">
        <f t="shared" si="4"/>
        <v>-10962</v>
      </c>
      <c r="AJ22" s="99">
        <f t="shared" si="2"/>
        <v>0</v>
      </c>
      <c r="AK22" s="100">
        <v>3.2781553097888413E-3</v>
      </c>
      <c r="AL22" s="100">
        <v>3.9333553191088992E-2</v>
      </c>
      <c r="AM22" s="101">
        <v>8.0606843251875518E-2</v>
      </c>
    </row>
    <row r="23" spans="1:39" ht="20.100000000000001" customHeight="1" x14ac:dyDescent="0.35">
      <c r="A23" s="85" t="s">
        <v>1</v>
      </c>
      <c r="B23" s="86" t="s">
        <v>1</v>
      </c>
      <c r="C23" s="119" t="s">
        <v>236</v>
      </c>
      <c r="D23" s="87">
        <v>44032</v>
      </c>
      <c r="E23" s="87">
        <v>45496</v>
      </c>
      <c r="F23" s="88">
        <v>11000</v>
      </c>
      <c r="G23" s="88">
        <f>'[2]MOVIMENTACOES MENSAIS'!AH31</f>
        <v>11000</v>
      </c>
      <c r="H23" s="88">
        <f>'[2]MOVIMENTACOES MENSAIS'!AI31</f>
        <v>0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243">
        <f t="shared" si="0"/>
        <v>11000</v>
      </c>
      <c r="AH23" s="102">
        <f t="shared" si="3"/>
        <v>11000</v>
      </c>
      <c r="AI23" s="102">
        <f t="shared" si="4"/>
        <v>0</v>
      </c>
      <c r="AJ23" s="102">
        <f t="shared" si="2"/>
        <v>0</v>
      </c>
      <c r="AK23" s="262">
        <v>4.1800692022263466E-3</v>
      </c>
      <c r="AL23" s="262">
        <v>5.0155333951762533E-2</v>
      </c>
      <c r="AM23" s="261">
        <v>0.17506272727272731</v>
      </c>
    </row>
    <row r="24" spans="1:39" ht="20.100000000000001" customHeight="1" x14ac:dyDescent="0.35">
      <c r="A24" s="95" t="s">
        <v>1</v>
      </c>
      <c r="B24" s="96" t="s">
        <v>1</v>
      </c>
      <c r="C24" s="117" t="s">
        <v>212</v>
      </c>
      <c r="D24" s="87">
        <v>44679</v>
      </c>
      <c r="E24" s="93">
        <v>45777</v>
      </c>
      <c r="F24" s="94">
        <v>10000</v>
      </c>
      <c r="G24" s="94">
        <v>10000</v>
      </c>
      <c r="H24" s="94">
        <v>0</v>
      </c>
      <c r="I24" s="94"/>
      <c r="J24" s="94"/>
      <c r="K24" s="94"/>
      <c r="L24" s="94"/>
      <c r="M24" s="94"/>
      <c r="N24" s="94"/>
      <c r="O24" s="94"/>
      <c r="P24" s="94"/>
      <c r="Q24" s="94"/>
      <c r="R24" s="94"/>
      <c r="S24" s="94"/>
      <c r="T24" s="94"/>
      <c r="U24" s="94"/>
      <c r="V24" s="94"/>
      <c r="W24" s="94"/>
      <c r="X24" s="94"/>
      <c r="Y24" s="94"/>
      <c r="Z24" s="94"/>
      <c r="AA24" s="94"/>
      <c r="AB24" s="94"/>
      <c r="AC24" s="94"/>
      <c r="AD24" s="94"/>
      <c r="AE24" s="94"/>
      <c r="AF24" s="94"/>
      <c r="AG24" s="243">
        <f t="shared" si="0"/>
        <v>10000</v>
      </c>
      <c r="AH24" s="102">
        <f t="shared" si="3"/>
        <v>10000</v>
      </c>
      <c r="AI24" s="102">
        <f t="shared" si="4"/>
        <v>0</v>
      </c>
      <c r="AJ24" s="102">
        <f t="shared" si="2"/>
        <v>0</v>
      </c>
      <c r="AK24" s="262">
        <v>1.1982957129186607E-2</v>
      </c>
      <c r="AL24" s="262">
        <v>0.14377972886762364</v>
      </c>
      <c r="AM24" s="261">
        <v>0.24698600000000007</v>
      </c>
    </row>
    <row r="25" spans="1:39" ht="20.100000000000001" customHeight="1" x14ac:dyDescent="0.35">
      <c r="A25" s="89" t="s">
        <v>94</v>
      </c>
      <c r="B25" s="90" t="s">
        <v>6</v>
      </c>
      <c r="C25" s="118" t="s">
        <v>291</v>
      </c>
      <c r="D25" s="91">
        <v>44714</v>
      </c>
      <c r="E25" s="91">
        <v>45187</v>
      </c>
      <c r="F25" s="92">
        <v>6000</v>
      </c>
      <c r="G25" s="92">
        <v>6000</v>
      </c>
      <c r="H25" s="92">
        <v>0</v>
      </c>
      <c r="I25" s="92"/>
      <c r="J25" s="92"/>
      <c r="K25" s="92"/>
      <c r="L25" s="92"/>
      <c r="M25" s="92"/>
      <c r="N25" s="92"/>
      <c r="O25" s="92"/>
      <c r="P25" s="92"/>
      <c r="Q25" s="92"/>
      <c r="R25" s="92">
        <v>-195.98</v>
      </c>
      <c r="S25" s="92"/>
      <c r="T25" s="92"/>
      <c r="U25" s="92"/>
      <c r="V25" s="92"/>
      <c r="W25" s="92"/>
      <c r="X25" s="92"/>
      <c r="Y25" s="92"/>
      <c r="Z25" s="92">
        <v>-6021.62</v>
      </c>
      <c r="AA25" s="92">
        <v>0</v>
      </c>
      <c r="AB25" s="92">
        <v>0</v>
      </c>
      <c r="AC25" s="92">
        <v>0</v>
      </c>
      <c r="AD25" s="92">
        <v>0</v>
      </c>
      <c r="AE25" s="92">
        <v>0</v>
      </c>
      <c r="AF25" s="92">
        <v>0</v>
      </c>
      <c r="AG25" s="243">
        <f t="shared" si="0"/>
        <v>-217.59999999999945</v>
      </c>
      <c r="AH25" s="99">
        <f t="shared" si="3"/>
        <v>6000</v>
      </c>
      <c r="AI25" s="99">
        <f t="shared" si="4"/>
        <v>-6217.5999999999995</v>
      </c>
      <c r="AJ25" s="99">
        <f t="shared" si="2"/>
        <v>0</v>
      </c>
      <c r="AK25" s="262">
        <v>2.332414376321357E-3</v>
      </c>
      <c r="AL25" s="262">
        <v>2.7985905567300962E-2</v>
      </c>
      <c r="AM25" s="261">
        <v>3.6266666666666725E-2</v>
      </c>
    </row>
    <row r="26" spans="1:39" ht="20.100000000000001" customHeight="1" x14ac:dyDescent="0.35">
      <c r="A26" s="89" t="s">
        <v>94</v>
      </c>
      <c r="B26" s="90" t="s">
        <v>6</v>
      </c>
      <c r="C26" s="118" t="s">
        <v>292</v>
      </c>
      <c r="D26" s="91">
        <v>44285</v>
      </c>
      <c r="E26" s="91">
        <v>46091</v>
      </c>
      <c r="F26" s="92">
        <v>5000</v>
      </c>
      <c r="G26" s="92">
        <v>5000</v>
      </c>
      <c r="H26" s="92">
        <v>-390.47</v>
      </c>
      <c r="I26" s="92"/>
      <c r="J26" s="92"/>
      <c r="K26" s="92"/>
      <c r="L26" s="92"/>
      <c r="M26" s="92"/>
      <c r="N26" s="92">
        <v>-140.97</v>
      </c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>
        <v>-147.19</v>
      </c>
      <c r="AA26" s="92"/>
      <c r="AB26" s="92"/>
      <c r="AC26" s="92"/>
      <c r="AD26" s="92"/>
      <c r="AE26" s="92"/>
      <c r="AF26" s="92"/>
      <c r="AG26" s="243">
        <f t="shared" si="0"/>
        <v>4321.37</v>
      </c>
      <c r="AH26" s="99">
        <f t="shared" si="3"/>
        <v>5000</v>
      </c>
      <c r="AI26" s="99">
        <f t="shared" si="4"/>
        <v>-678.63000000000011</v>
      </c>
      <c r="AJ26" s="99">
        <f t="shared" si="2"/>
        <v>0</v>
      </c>
      <c r="AK26" s="100">
        <v>9.7249254064642517E-3</v>
      </c>
      <c r="AL26" s="100">
        <v>0.11668631733594516</v>
      </c>
      <c r="AM26" s="101">
        <v>0.32640200000000003</v>
      </c>
    </row>
    <row r="27" spans="1:39" ht="20.100000000000001" customHeight="1" x14ac:dyDescent="0.35">
      <c r="A27" s="85" t="s">
        <v>94</v>
      </c>
      <c r="B27" s="86" t="s">
        <v>123</v>
      </c>
      <c r="C27" s="119" t="s">
        <v>160</v>
      </c>
      <c r="D27" s="87">
        <v>44362</v>
      </c>
      <c r="E27" s="87">
        <v>47953</v>
      </c>
      <c r="F27" s="88">
        <v>5000</v>
      </c>
      <c r="G27" s="88">
        <v>5000</v>
      </c>
      <c r="H27" s="88">
        <v>-342.38</v>
      </c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243">
        <f t="shared" si="0"/>
        <v>4657.62</v>
      </c>
      <c r="AH27" s="102">
        <f t="shared" si="3"/>
        <v>5000</v>
      </c>
      <c r="AI27" s="102">
        <f t="shared" si="4"/>
        <v>-342.38</v>
      </c>
      <c r="AJ27" s="102">
        <f t="shared" si="2"/>
        <v>0</v>
      </c>
      <c r="AK27" s="100">
        <v>-1.3607020677966101E-2</v>
      </c>
      <c r="AL27" s="100">
        <v>-0.16326635593220337</v>
      </c>
      <c r="AM27" s="101">
        <v>-0.42225599999999996</v>
      </c>
    </row>
    <row r="28" spans="1:39" ht="20.100000000000001" customHeight="1" x14ac:dyDescent="0.35">
      <c r="A28" s="81" t="s">
        <v>94</v>
      </c>
      <c r="B28" s="82" t="s">
        <v>123</v>
      </c>
      <c r="C28" s="120" t="s">
        <v>72</v>
      </c>
      <c r="D28" s="83">
        <v>44161</v>
      </c>
      <c r="E28" s="83">
        <v>45945</v>
      </c>
      <c r="F28" s="84">
        <v>6032.24</v>
      </c>
      <c r="G28" s="84">
        <v>6032.24</v>
      </c>
      <c r="H28" s="84">
        <v>-1069.3699999999999</v>
      </c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243">
        <f t="shared" si="0"/>
        <v>4962.87</v>
      </c>
      <c r="AH28" s="99">
        <f t="shared" si="3"/>
        <v>6032.24</v>
      </c>
      <c r="AI28" s="99">
        <f t="shared" si="4"/>
        <v>-1069.3699999999999</v>
      </c>
      <c r="AJ28" s="99">
        <f t="shared" si="2"/>
        <v>0</v>
      </c>
      <c r="AK28" s="100">
        <v>-9.7288385546611938E-3</v>
      </c>
      <c r="AL28" s="100">
        <v>-0.11673326996881445</v>
      </c>
      <c r="AM28" s="101">
        <v>-0.36619066880628093</v>
      </c>
    </row>
    <row r="29" spans="1:39" ht="20.100000000000001" customHeight="1" x14ac:dyDescent="0.35">
      <c r="A29" s="85" t="s">
        <v>94</v>
      </c>
      <c r="B29" s="86" t="s">
        <v>123</v>
      </c>
      <c r="C29" s="119" t="s">
        <v>73</v>
      </c>
      <c r="D29" s="87">
        <v>43985</v>
      </c>
      <c r="E29" s="87">
        <v>45945</v>
      </c>
      <c r="F29" s="88">
        <v>10597.39</v>
      </c>
      <c r="G29" s="88">
        <v>10597.39</v>
      </c>
      <c r="H29" s="88">
        <v>-1492.22</v>
      </c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243">
        <f t="shared" si="0"/>
        <v>9105.17</v>
      </c>
      <c r="AH29" s="102">
        <f t="shared" si="3"/>
        <v>10597.39</v>
      </c>
      <c r="AI29" s="102">
        <f t="shared" si="4"/>
        <v>-1492.22</v>
      </c>
      <c r="AJ29" s="102">
        <f t="shared" si="2"/>
        <v>0</v>
      </c>
      <c r="AK29" s="262">
        <v>-9.0137962990457336E-3</v>
      </c>
      <c r="AL29" s="262">
        <v>-0.10815370312793204</v>
      </c>
      <c r="AM29" s="261">
        <v>-0.39142751186848829</v>
      </c>
    </row>
    <row r="30" spans="1:39" ht="20.100000000000001" customHeight="1" x14ac:dyDescent="0.35">
      <c r="A30" s="89" t="s">
        <v>94</v>
      </c>
      <c r="B30" s="90" t="s">
        <v>123</v>
      </c>
      <c r="C30" s="118" t="s">
        <v>159</v>
      </c>
      <c r="D30" s="91">
        <v>44230</v>
      </c>
      <c r="E30" s="91">
        <v>45187</v>
      </c>
      <c r="F30" s="92">
        <v>3000</v>
      </c>
      <c r="G30" s="92">
        <v>3000</v>
      </c>
      <c r="H30" s="92">
        <v>-221.17000000000002</v>
      </c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>
        <v>-63.03</v>
      </c>
      <c r="U30" s="92"/>
      <c r="V30" s="92"/>
      <c r="W30" s="92"/>
      <c r="X30" s="92"/>
      <c r="Y30" s="92"/>
      <c r="Z30" s="92">
        <v>-3125.61</v>
      </c>
      <c r="AA30" s="92">
        <v>0</v>
      </c>
      <c r="AB30" s="92">
        <v>0</v>
      </c>
      <c r="AC30" s="92">
        <v>0</v>
      </c>
      <c r="AD30" s="92">
        <v>0</v>
      </c>
      <c r="AE30" s="92">
        <v>0</v>
      </c>
      <c r="AF30" s="92">
        <v>0</v>
      </c>
      <c r="AG30" s="243">
        <f t="shared" si="0"/>
        <v>-409.8100000000004</v>
      </c>
      <c r="AH30" s="102">
        <f t="shared" si="3"/>
        <v>3000</v>
      </c>
      <c r="AI30" s="102">
        <f t="shared" si="4"/>
        <v>-3409.8100000000004</v>
      </c>
      <c r="AJ30" s="102">
        <f t="shared" si="2"/>
        <v>0</v>
      </c>
      <c r="AK30" s="262">
        <v>4.3421874608150467E-3</v>
      </c>
      <c r="AL30" s="262">
        <v>5.2100539881574363E-2</v>
      </c>
      <c r="AM30" s="261">
        <v>0.13660333333333333</v>
      </c>
    </row>
    <row r="31" spans="1:39" ht="20.100000000000001" customHeight="1" x14ac:dyDescent="0.35">
      <c r="A31" s="85" t="s">
        <v>96</v>
      </c>
      <c r="B31" s="86" t="s">
        <v>96</v>
      </c>
      <c r="C31" s="119" t="s">
        <v>281</v>
      </c>
      <c r="D31" s="87">
        <v>44987</v>
      </c>
      <c r="E31" s="93">
        <v>48351</v>
      </c>
      <c r="F31" s="88">
        <v>2000</v>
      </c>
      <c r="G31" s="88"/>
      <c r="H31" s="88"/>
      <c r="I31" s="88">
        <v>0</v>
      </c>
      <c r="J31" s="88">
        <v>0</v>
      </c>
      <c r="K31" s="88">
        <v>0</v>
      </c>
      <c r="L31" s="88">
        <v>0</v>
      </c>
      <c r="M31" s="88">
        <v>58470.99</v>
      </c>
      <c r="N31" s="88">
        <v>-27100</v>
      </c>
      <c r="O31" s="88">
        <v>17600</v>
      </c>
      <c r="P31" s="88">
        <v>-13500</v>
      </c>
      <c r="Q31" s="88">
        <v>11770.61</v>
      </c>
      <c r="R31" s="88">
        <v>-4420</v>
      </c>
      <c r="S31" s="88">
        <v>18571.810000000001</v>
      </c>
      <c r="T31" s="88">
        <v>-13120</v>
      </c>
      <c r="U31" s="88">
        <v>16724.73</v>
      </c>
      <c r="V31" s="88">
        <v>-14850</v>
      </c>
      <c r="W31" s="88">
        <v>38188.35</v>
      </c>
      <c r="X31" s="88">
        <v>-17600</v>
      </c>
      <c r="Y31" s="263">
        <v>21334.43</v>
      </c>
      <c r="Z31" s="88">
        <v>-16700</v>
      </c>
      <c r="AA31" s="88">
        <v>19681.18</v>
      </c>
      <c r="AB31" s="88">
        <v>-30350</v>
      </c>
      <c r="AC31" s="88">
        <v>7639.11</v>
      </c>
      <c r="AD31" s="88">
        <v>-31400</v>
      </c>
      <c r="AE31" s="88">
        <v>10556</v>
      </c>
      <c r="AF31" s="88">
        <v>-20200</v>
      </c>
      <c r="AG31" s="243">
        <f t="shared" si="0"/>
        <v>31297.209999999977</v>
      </c>
      <c r="AH31" s="102">
        <f t="shared" si="3"/>
        <v>220537.20999999996</v>
      </c>
      <c r="AI31" s="102">
        <f t="shared" si="4"/>
        <v>-189240</v>
      </c>
      <c r="AJ31" s="102">
        <f t="shared" si="2"/>
        <v>0</v>
      </c>
      <c r="AK31" s="262">
        <v>-6.7682900882766409E-3</v>
      </c>
      <c r="AL31" s="262">
        <v>-8.121058126959152E-2</v>
      </c>
      <c r="AM31" s="261">
        <v>-7.0975823082190942E-2</v>
      </c>
    </row>
    <row r="32" spans="1:39" ht="20.100000000000001" customHeight="1" x14ac:dyDescent="0.35">
      <c r="A32" s="81" t="s">
        <v>96</v>
      </c>
      <c r="B32" s="82" t="s">
        <v>96</v>
      </c>
      <c r="C32" s="120" t="s">
        <v>276</v>
      </c>
      <c r="D32" s="83">
        <v>44887</v>
      </c>
      <c r="E32" s="91">
        <v>45175</v>
      </c>
      <c r="F32" s="84"/>
      <c r="G32" s="84">
        <f>'[2]MOVIMENTACOES MENSAIS'!AH61</f>
        <v>10371.83</v>
      </c>
      <c r="H32" s="84">
        <f>'[2]MOVIMENTACOES MENSAIS'!AI61</f>
        <v>-10268.91</v>
      </c>
      <c r="I32" s="84">
        <v>5000</v>
      </c>
      <c r="J32" s="84">
        <f xml:space="preserve"> -(598.7 + 1397.97 + 1996.81 + 798.35)</f>
        <v>-4791.83</v>
      </c>
      <c r="K32" s="84">
        <v>9200</v>
      </c>
      <c r="L32" s="84">
        <f xml:space="preserve"> -(2499.52 + 1499.78 + 2996.81)</f>
        <v>-6996.1100000000006</v>
      </c>
      <c r="M32" s="84">
        <v>4000</v>
      </c>
      <c r="N32" s="84">
        <v>-4986.92</v>
      </c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>
        <v>-1659.66</v>
      </c>
      <c r="AA32" s="84"/>
      <c r="AB32" s="84"/>
      <c r="AC32" s="84"/>
      <c r="AD32" s="84"/>
      <c r="AE32" s="84"/>
      <c r="AF32" s="84"/>
      <c r="AG32" s="243">
        <f t="shared" si="0"/>
        <v>-131.60000000000059</v>
      </c>
      <c r="AH32" s="99">
        <f t="shared" si="3"/>
        <v>28571.83</v>
      </c>
      <c r="AI32" s="102">
        <f t="shared" si="4"/>
        <v>-28703.429999999997</v>
      </c>
      <c r="AJ32" s="99">
        <f t="shared" si="2"/>
        <v>0</v>
      </c>
      <c r="AK32" s="262">
        <v>4.8650191464809378E-4</v>
      </c>
      <c r="AL32" s="262">
        <v>5.8373832625428735E-3</v>
      </c>
      <c r="AM32" s="261">
        <v>4.6059352866091715E-3</v>
      </c>
    </row>
    <row r="33" spans="1:39" ht="20.100000000000001" customHeight="1" x14ac:dyDescent="0.35">
      <c r="A33" s="81" t="s">
        <v>96</v>
      </c>
      <c r="B33" s="82" t="s">
        <v>96</v>
      </c>
      <c r="C33" s="120" t="s">
        <v>245</v>
      </c>
      <c r="D33" s="83">
        <v>44858</v>
      </c>
      <c r="E33" s="91">
        <v>48351</v>
      </c>
      <c r="F33" s="84">
        <v>9953.2000000000007</v>
      </c>
      <c r="G33" s="84">
        <v>9953.2000000000007</v>
      </c>
      <c r="H33" s="84">
        <v>-9046.7099999999991</v>
      </c>
      <c r="I33" s="84">
        <v>3130</v>
      </c>
      <c r="J33" s="84">
        <f xml:space="preserve"> -(1993.1 + 997.94)</f>
        <v>-2991.04</v>
      </c>
      <c r="K33" s="84">
        <v>9000</v>
      </c>
      <c r="L33" s="84">
        <v>-2693.93</v>
      </c>
      <c r="M33" s="84">
        <v>4000</v>
      </c>
      <c r="N33" s="84">
        <v>-9578.2900000000009</v>
      </c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  <c r="AC33" s="84"/>
      <c r="AD33" s="84"/>
      <c r="AE33" s="84"/>
      <c r="AF33" s="84"/>
      <c r="AG33" s="243">
        <f t="shared" si="0"/>
        <v>1773.2299999999996</v>
      </c>
      <c r="AH33" s="99">
        <f t="shared" si="3"/>
        <v>26083.200000000001</v>
      </c>
      <c r="AI33" s="99">
        <f t="shared" si="4"/>
        <v>-24309.97</v>
      </c>
      <c r="AJ33" s="99">
        <f t="shared" si="2"/>
        <v>0</v>
      </c>
      <c r="AK33" s="262">
        <v>9.5915125170881882E-4</v>
      </c>
      <c r="AL33" s="262">
        <v>1.1508553809129482E-2</v>
      </c>
      <c r="AM33" s="261">
        <v>1.4125567415041118E-2</v>
      </c>
    </row>
    <row r="34" spans="1:39" ht="20.100000000000001" customHeight="1" x14ac:dyDescent="0.35">
      <c r="A34" s="81" t="s">
        <v>96</v>
      </c>
      <c r="B34" s="82" t="s">
        <v>96</v>
      </c>
      <c r="C34" s="120" t="s">
        <v>277</v>
      </c>
      <c r="D34" s="83">
        <v>44650</v>
      </c>
      <c r="E34" s="83">
        <v>45197</v>
      </c>
      <c r="F34" s="84">
        <v>5000</v>
      </c>
      <c r="G34" s="84">
        <f>'[2]MOVIMENTACOES MENSAIS'!AH63</f>
        <v>15000</v>
      </c>
      <c r="H34" s="84">
        <f>'[2]MOVIMENTACOES MENSAIS'!AI63</f>
        <v>0</v>
      </c>
      <c r="I34" s="84"/>
      <c r="J34" s="84"/>
      <c r="K34" s="84"/>
      <c r="L34" s="84"/>
      <c r="M34" s="1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>
        <v>-16276.84</v>
      </c>
      <c r="AA34" s="84">
        <v>0</v>
      </c>
      <c r="AB34" s="84">
        <v>0</v>
      </c>
      <c r="AC34" s="84">
        <v>0</v>
      </c>
      <c r="AD34" s="84">
        <v>0</v>
      </c>
      <c r="AE34" s="84">
        <v>0</v>
      </c>
      <c r="AF34" s="84">
        <v>0</v>
      </c>
      <c r="AG34" s="243">
        <f t="shared" si="0"/>
        <v>-1276.8400000000001</v>
      </c>
      <c r="AH34" s="99">
        <f t="shared" si="3"/>
        <v>15000</v>
      </c>
      <c r="AI34" s="99">
        <f t="shared" si="4"/>
        <v>-16276.84</v>
      </c>
      <c r="AJ34" s="99">
        <f t="shared" si="2"/>
        <v>0</v>
      </c>
      <c r="AK34" s="262">
        <v>4.7338784643510068E-3</v>
      </c>
      <c r="AL34" s="262">
        <v>5.6800316879951261E-2</v>
      </c>
      <c r="AM34" s="261">
        <v>8.512266666666668E-2</v>
      </c>
    </row>
    <row r="35" spans="1:39" ht="20.100000000000001" customHeight="1" x14ac:dyDescent="0.35">
      <c r="A35" s="81" t="s">
        <v>96</v>
      </c>
      <c r="B35" s="82" t="s">
        <v>96</v>
      </c>
      <c r="C35" s="120" t="s">
        <v>278</v>
      </c>
      <c r="D35" s="83">
        <v>44706</v>
      </c>
      <c r="E35" s="91">
        <v>45040</v>
      </c>
      <c r="F35" s="84">
        <v>9998.5300000000007</v>
      </c>
      <c r="G35" s="84">
        <f>'[2]MOVIMENTACOES MENSAIS'!AH53</f>
        <v>10000</v>
      </c>
      <c r="H35" s="84">
        <f>'[2]MOVIMENTACOES MENSAIS'!AI53</f>
        <v>0</v>
      </c>
      <c r="I35" s="84"/>
      <c r="J35" s="84"/>
      <c r="K35" s="84"/>
      <c r="L35" s="84"/>
      <c r="M35" s="84"/>
      <c r="N35" s="84"/>
      <c r="O35" s="84"/>
      <c r="P35" s="84">
        <v>-10544.79</v>
      </c>
      <c r="Q35" s="84"/>
      <c r="R35" s="84"/>
      <c r="S35" s="84"/>
      <c r="T35" s="84"/>
      <c r="U35" s="84"/>
      <c r="V35" s="84"/>
      <c r="W35" s="84"/>
      <c r="X35" s="84"/>
      <c r="Y35" s="84"/>
      <c r="Z35" s="84"/>
      <c r="AA35" s="84"/>
      <c r="AB35" s="84"/>
      <c r="AC35" s="84"/>
      <c r="AD35" s="84"/>
      <c r="AE35" s="84"/>
      <c r="AF35" s="84"/>
      <c r="AG35" s="243">
        <f t="shared" si="0"/>
        <v>-544.79000000000087</v>
      </c>
      <c r="AH35" s="99">
        <f t="shared" si="3"/>
        <v>10000</v>
      </c>
      <c r="AI35" s="99">
        <f t="shared" si="4"/>
        <v>-10544.79</v>
      </c>
      <c r="AJ35" s="99">
        <f t="shared" si="2"/>
        <v>0</v>
      </c>
      <c r="AK35" s="100">
        <v>4.9618298802395298E-3</v>
      </c>
      <c r="AL35" s="100">
        <v>5.9535434131736627E-2</v>
      </c>
      <c r="AM35" s="101">
        <v>5.447900000000009E-2</v>
      </c>
    </row>
    <row r="36" spans="1:39" ht="20.100000000000001" customHeight="1" x14ac:dyDescent="0.35">
      <c r="A36" s="95" t="s">
        <v>95</v>
      </c>
      <c r="B36" s="96" t="s">
        <v>120</v>
      </c>
      <c r="C36" s="319" t="s">
        <v>197</v>
      </c>
      <c r="D36" s="93">
        <v>44286</v>
      </c>
      <c r="E36" s="93">
        <v>48351</v>
      </c>
      <c r="F36" s="94">
        <v>6037.22</v>
      </c>
      <c r="G36" s="94">
        <v>6037.22</v>
      </c>
      <c r="H36" s="94">
        <v>-1427.96</v>
      </c>
      <c r="I36" s="94"/>
      <c r="J36" s="94">
        <v>-58</v>
      </c>
      <c r="K36" s="94"/>
      <c r="L36" s="94">
        <v>-58</v>
      </c>
      <c r="M36" s="94"/>
      <c r="N36" s="94">
        <v>-58</v>
      </c>
      <c r="O36" s="94"/>
      <c r="P36" s="94">
        <v>-63.8</v>
      </c>
      <c r="Q36" s="94"/>
      <c r="R36" s="94">
        <v>-63.8</v>
      </c>
      <c r="S36" s="94"/>
      <c r="T36" s="94">
        <v>-69.599999999999994</v>
      </c>
      <c r="U36" s="94"/>
      <c r="V36" s="94">
        <v>-72.5</v>
      </c>
      <c r="W36" s="94"/>
      <c r="X36" s="94">
        <v>-72.5</v>
      </c>
      <c r="Y36" s="94"/>
      <c r="Z36" s="94">
        <v>-78.3</v>
      </c>
      <c r="AA36" s="94"/>
      <c r="AB36" s="94">
        <v>-78.3</v>
      </c>
      <c r="AC36" s="94"/>
      <c r="AD36" s="94">
        <v>-58</v>
      </c>
      <c r="AE36" s="94"/>
      <c r="AF36" s="94">
        <v>-58</v>
      </c>
      <c r="AG36" s="243">
        <f t="shared" si="0"/>
        <v>3820.4599999999991</v>
      </c>
      <c r="AH36" s="102">
        <f t="shared" si="3"/>
        <v>6037.22</v>
      </c>
      <c r="AI36" s="102">
        <f t="shared" si="4"/>
        <v>-2216.7599999999998</v>
      </c>
      <c r="AJ36" s="102">
        <f t="shared" si="2"/>
        <v>0</v>
      </c>
      <c r="AK36" s="262">
        <v>7.5869637700406332E-3</v>
      </c>
      <c r="AL36" s="262">
        <v>9.1033588956766304E-2</v>
      </c>
      <c r="AM36" s="261">
        <v>0.25439523489288118</v>
      </c>
    </row>
    <row r="37" spans="1:39" ht="20.100000000000001" customHeight="1" x14ac:dyDescent="0.35">
      <c r="A37" s="85" t="s">
        <v>94</v>
      </c>
      <c r="B37" s="86" t="s">
        <v>8</v>
      </c>
      <c r="C37" s="119" t="s">
        <v>285</v>
      </c>
      <c r="D37" s="87">
        <v>45015</v>
      </c>
      <c r="E37" s="87">
        <v>45383</v>
      </c>
      <c r="F37" s="88">
        <v>18000</v>
      </c>
      <c r="G37" s="88"/>
      <c r="H37" s="88">
        <v>0</v>
      </c>
      <c r="I37" s="88">
        <v>0</v>
      </c>
      <c r="J37" s="88">
        <v>0</v>
      </c>
      <c r="K37" s="88">
        <v>0</v>
      </c>
      <c r="L37" s="88">
        <v>0</v>
      </c>
      <c r="M37" s="88">
        <v>18000</v>
      </c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243">
        <f>SUM(G37:AF37)</f>
        <v>18000</v>
      </c>
      <c r="AH37" s="102">
        <f t="shared" ref="AH37:AI41" si="5">G37 + I37 + K37 + M37 + O37 + Q37 + S37 + U37 + W37 + Y37 + AA37 + AC37 + AE37</f>
        <v>18000</v>
      </c>
      <c r="AI37" s="102">
        <f t="shared" si="5"/>
        <v>0</v>
      </c>
      <c r="AJ37" s="102">
        <f xml:space="preserve"> IF(E37 &lt; DataReferencia, AG37, 0)</f>
        <v>0</v>
      </c>
      <c r="AK37" s="262">
        <v>8.9000859106529214E-3</v>
      </c>
      <c r="AL37" s="262">
        <v>0.1067893279877816</v>
      </c>
      <c r="AM37" s="261">
        <v>8.5138888888888889E-2</v>
      </c>
    </row>
    <row r="38" spans="1:39" ht="20.100000000000001" customHeight="1" x14ac:dyDescent="0.35">
      <c r="A38" s="81" t="s">
        <v>94</v>
      </c>
      <c r="B38" s="82" t="s">
        <v>8</v>
      </c>
      <c r="C38" s="120" t="s">
        <v>283</v>
      </c>
      <c r="D38" s="83">
        <v>45015</v>
      </c>
      <c r="E38" s="91">
        <v>45386</v>
      </c>
      <c r="F38" s="84">
        <v>15000</v>
      </c>
      <c r="G38" s="84"/>
      <c r="H38" s="84"/>
      <c r="I38" s="84">
        <v>0</v>
      </c>
      <c r="J38" s="84">
        <v>0</v>
      </c>
      <c r="K38" s="84">
        <v>0</v>
      </c>
      <c r="L38" s="84">
        <v>0</v>
      </c>
      <c r="M38" s="84">
        <v>15000</v>
      </c>
      <c r="N38" s="84"/>
      <c r="O38" s="84"/>
      <c r="P38" s="84"/>
      <c r="Q38" s="84"/>
      <c r="R38" s="84">
        <v>-147.87</v>
      </c>
      <c r="S38" s="84"/>
      <c r="T38" s="84">
        <v>-147.87</v>
      </c>
      <c r="U38" s="84"/>
      <c r="V38" s="84">
        <v>-147.87</v>
      </c>
      <c r="W38" s="84"/>
      <c r="X38" s="84">
        <v>-291.10000000000002</v>
      </c>
      <c r="Y38" s="84"/>
      <c r="Z38" s="84">
        <v>-141.28</v>
      </c>
      <c r="AA38" s="84"/>
      <c r="AB38" s="84">
        <v>-137.61000000000001</v>
      </c>
      <c r="AC38" s="84"/>
      <c r="AD38" s="84"/>
      <c r="AE38" s="84"/>
      <c r="AF38" s="84">
        <v>-132.94</v>
      </c>
      <c r="AG38" s="243">
        <f>SUM(G38:AF38)</f>
        <v>13853.459999999995</v>
      </c>
      <c r="AH38" s="99">
        <f t="shared" si="5"/>
        <v>15000</v>
      </c>
      <c r="AI38" s="102">
        <f t="shared" si="5"/>
        <v>-1146.54</v>
      </c>
      <c r="AJ38" s="102">
        <f xml:space="preserve"> IF(E38 &lt; DataReferencia, AG38, 0)</f>
        <v>0</v>
      </c>
      <c r="AK38" s="262">
        <v>8.8078618556700992E-3</v>
      </c>
      <c r="AL38" s="262">
        <v>0.10568276059564716</v>
      </c>
      <c r="AM38" s="261">
        <v>8.4256666666666633E-2</v>
      </c>
    </row>
    <row r="39" spans="1:39" ht="20.100000000000001" customHeight="1" x14ac:dyDescent="0.35">
      <c r="A39" s="81" t="s">
        <v>94</v>
      </c>
      <c r="B39" s="82" t="s">
        <v>8</v>
      </c>
      <c r="C39" s="120" t="s">
        <v>244</v>
      </c>
      <c r="D39" s="83">
        <v>44887</v>
      </c>
      <c r="E39" s="91">
        <v>45432</v>
      </c>
      <c r="F39" s="84">
        <v>8000</v>
      </c>
      <c r="G39" s="84">
        <f>'[2]MOVIMENTACOES MENSAIS'!AH37</f>
        <v>8000</v>
      </c>
      <c r="H39" s="84">
        <v>0</v>
      </c>
      <c r="I39" s="84"/>
      <c r="J39" s="84"/>
      <c r="K39" s="84"/>
      <c r="L39" s="84"/>
      <c r="M39" s="84"/>
      <c r="N39" s="84"/>
      <c r="O39" s="84"/>
      <c r="P39" s="84"/>
      <c r="Q39" s="84"/>
      <c r="R39" s="84"/>
      <c r="S39" s="84"/>
      <c r="T39" s="84"/>
      <c r="U39" s="84"/>
      <c r="V39" s="84"/>
      <c r="W39" s="84"/>
      <c r="X39" s="84"/>
      <c r="Y39" s="84"/>
      <c r="Z39" s="84"/>
      <c r="AA39" s="84"/>
      <c r="AB39" s="84"/>
      <c r="AC39" s="84"/>
      <c r="AD39" s="84"/>
      <c r="AE39" s="84"/>
      <c r="AF39" s="84"/>
      <c r="AG39" s="243">
        <f>SUM(G39:AF39)</f>
        <v>8000</v>
      </c>
      <c r="AH39" s="99">
        <f t="shared" si="5"/>
        <v>8000</v>
      </c>
      <c r="AI39" s="99">
        <f t="shared" si="5"/>
        <v>0</v>
      </c>
      <c r="AJ39" s="99">
        <f xml:space="preserve"> IF(E39 &lt; DataReferencia, AG39, 0)</f>
        <v>0</v>
      </c>
      <c r="AK39" s="100">
        <v>1.0647726014319814E-2</v>
      </c>
      <c r="AL39" s="100">
        <v>0.12775871121718382</v>
      </c>
      <c r="AM39" s="101">
        <v>0.14666000000000007</v>
      </c>
    </row>
    <row r="40" spans="1:39" ht="20.100000000000001" customHeight="1" x14ac:dyDescent="0.35">
      <c r="A40" s="85" t="s">
        <v>94</v>
      </c>
      <c r="B40" s="86" t="s">
        <v>8</v>
      </c>
      <c r="C40" s="119" t="s">
        <v>289</v>
      </c>
      <c r="D40" s="87">
        <v>45056</v>
      </c>
      <c r="E40" s="87">
        <v>45483</v>
      </c>
      <c r="F40" s="88">
        <v>10000</v>
      </c>
      <c r="G40" s="88"/>
      <c r="H40" s="88"/>
      <c r="I40" s="88">
        <v>0</v>
      </c>
      <c r="J40" s="88">
        <v>0</v>
      </c>
      <c r="K40" s="88">
        <v>0</v>
      </c>
      <c r="L40" s="88">
        <v>0</v>
      </c>
      <c r="M40" s="88">
        <v>0</v>
      </c>
      <c r="N40" s="88">
        <v>0</v>
      </c>
      <c r="O40" s="88">
        <v>0</v>
      </c>
      <c r="P40" s="88">
        <v>0</v>
      </c>
      <c r="Q40" s="88">
        <v>0</v>
      </c>
      <c r="R40" s="88">
        <v>0</v>
      </c>
      <c r="S40" s="88">
        <v>0</v>
      </c>
      <c r="T40" s="88">
        <v>0</v>
      </c>
      <c r="U40" s="88">
        <v>0</v>
      </c>
      <c r="V40" s="88">
        <v>0</v>
      </c>
      <c r="W40" s="88">
        <v>0</v>
      </c>
      <c r="X40" s="88">
        <v>0</v>
      </c>
      <c r="Y40" s="88">
        <v>0</v>
      </c>
      <c r="Z40" s="88">
        <v>0</v>
      </c>
      <c r="AA40" s="88">
        <v>10000</v>
      </c>
      <c r="AB40" s="88"/>
      <c r="AC40" s="88"/>
      <c r="AD40" s="88"/>
      <c r="AE40" s="88"/>
      <c r="AF40" s="88"/>
      <c r="AG40" s="243">
        <f>SUM(G40:AF40)</f>
        <v>10000</v>
      </c>
      <c r="AH40" s="102">
        <f t="shared" si="5"/>
        <v>10000</v>
      </c>
      <c r="AI40" s="102">
        <f t="shared" si="5"/>
        <v>0</v>
      </c>
      <c r="AJ40" s="102">
        <f xml:space="preserve"> IF(E40 &lt; DataReferencia, AG40, 0)</f>
        <v>0</v>
      </c>
      <c r="AK40" s="262">
        <v>3.0540463199999978E-3</v>
      </c>
      <c r="AL40" s="262">
        <v>3.6644539999999969E-2</v>
      </c>
      <c r="AM40" s="261">
        <v>2.5098999999999979E-2</v>
      </c>
    </row>
    <row r="41" spans="1:39" ht="20.100000000000001" customHeight="1" x14ac:dyDescent="0.35">
      <c r="A41" s="81" t="s">
        <v>94</v>
      </c>
      <c r="B41" s="82" t="s">
        <v>8</v>
      </c>
      <c r="C41" s="120" t="s">
        <v>243</v>
      </c>
      <c r="D41" s="83">
        <v>44572</v>
      </c>
      <c r="E41" s="91">
        <v>45587</v>
      </c>
      <c r="F41" s="84">
        <v>10000</v>
      </c>
      <c r="G41" s="84">
        <f>'[2]MOVIMENTACOES MENSAIS'!AH41</f>
        <v>10000</v>
      </c>
      <c r="H41" s="84">
        <v>0</v>
      </c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243">
        <f>SUM(G41:AF41)</f>
        <v>10000</v>
      </c>
      <c r="AH41" s="99">
        <f t="shared" si="5"/>
        <v>10000</v>
      </c>
      <c r="AI41" s="99">
        <f t="shared" si="5"/>
        <v>0</v>
      </c>
      <c r="AJ41" s="99">
        <f xml:space="preserve"> IF(E41 &lt; DataReferencia, AG41, 0)</f>
        <v>0</v>
      </c>
      <c r="AK41" s="100">
        <v>6.530353405994554E-3</v>
      </c>
      <c r="AL41" s="100">
        <v>7.8355653950953716E-2</v>
      </c>
      <c r="AM41" s="101">
        <v>0.15757000000000007</v>
      </c>
    </row>
    <row r="42" spans="1:39" ht="20.100000000000001" customHeight="1" x14ac:dyDescent="0.35">
      <c r="A42" s="81" t="s">
        <v>94</v>
      </c>
      <c r="B42" s="82" t="s">
        <v>9</v>
      </c>
      <c r="C42" s="120" t="s">
        <v>229</v>
      </c>
      <c r="D42" s="83">
        <v>44694</v>
      </c>
      <c r="E42" s="91">
        <v>45327</v>
      </c>
      <c r="F42" s="84">
        <v>10000</v>
      </c>
      <c r="G42" s="84">
        <v>10000</v>
      </c>
      <c r="H42" s="84">
        <v>0</v>
      </c>
      <c r="I42" s="84"/>
      <c r="J42" s="84"/>
      <c r="K42" s="84"/>
      <c r="L42" s="84"/>
      <c r="M42" s="84"/>
      <c r="N42" s="84"/>
      <c r="O42" s="84"/>
      <c r="P42" s="84"/>
      <c r="Q42" s="84"/>
      <c r="R42" s="84"/>
      <c r="S42" s="84"/>
      <c r="T42" s="84"/>
      <c r="U42" s="84"/>
      <c r="V42" s="84"/>
      <c r="W42" s="84"/>
      <c r="X42" s="84"/>
      <c r="Y42" s="84"/>
      <c r="Z42" s="84"/>
      <c r="AA42" s="84"/>
      <c r="AB42" s="84"/>
      <c r="AC42" s="84"/>
      <c r="AD42" s="84"/>
      <c r="AE42" s="84"/>
      <c r="AF42" s="84"/>
      <c r="AG42" s="243">
        <f t="shared" si="0"/>
        <v>10000</v>
      </c>
      <c r="AH42" s="99">
        <f t="shared" si="3"/>
        <v>10000</v>
      </c>
      <c r="AI42" s="99">
        <f t="shared" si="4"/>
        <v>0</v>
      </c>
      <c r="AJ42" s="99">
        <f t="shared" si="2"/>
        <v>0</v>
      </c>
      <c r="AK42" s="100">
        <v>1.0557728235294123E-2</v>
      </c>
      <c r="AL42" s="100">
        <v>0.12667885620915037</v>
      </c>
      <c r="AM42" s="101">
        <v>0.21240400000000009</v>
      </c>
    </row>
    <row r="43" spans="1:39" ht="20.100000000000001" customHeight="1" x14ac:dyDescent="0.35">
      <c r="A43" s="81" t="s">
        <v>94</v>
      </c>
      <c r="B43" s="82" t="s">
        <v>9</v>
      </c>
      <c r="C43" s="120" t="s">
        <v>240</v>
      </c>
      <c r="D43" s="83">
        <v>44686</v>
      </c>
      <c r="E43" s="91">
        <v>45051</v>
      </c>
      <c r="F43" s="84">
        <v>10000</v>
      </c>
      <c r="G43" s="84">
        <f>'[2]MOVIMENTACOES MENSAIS'!AH29</f>
        <v>10000</v>
      </c>
      <c r="H43" s="84">
        <v>0</v>
      </c>
      <c r="I43" s="84"/>
      <c r="J43" s="84"/>
      <c r="K43" s="84"/>
      <c r="L43" s="84"/>
      <c r="M43" s="84"/>
      <c r="N43" s="84"/>
      <c r="O43" s="84"/>
      <c r="P43" s="84"/>
      <c r="Q43" s="84"/>
      <c r="R43" s="84">
        <v>-11312.04</v>
      </c>
      <c r="S43" s="84">
        <v>0</v>
      </c>
      <c r="T43" s="84">
        <v>0</v>
      </c>
      <c r="U43" s="84">
        <v>0</v>
      </c>
      <c r="V43" s="84">
        <v>0</v>
      </c>
      <c r="W43" s="84">
        <v>0</v>
      </c>
      <c r="X43" s="84">
        <v>0</v>
      </c>
      <c r="Y43" s="84">
        <v>0</v>
      </c>
      <c r="Z43" s="84">
        <v>0</v>
      </c>
      <c r="AA43" s="84">
        <v>0</v>
      </c>
      <c r="AB43" s="84">
        <v>0</v>
      </c>
      <c r="AC43" s="84">
        <v>0</v>
      </c>
      <c r="AD43" s="84">
        <v>0</v>
      </c>
      <c r="AE43" s="84">
        <v>0</v>
      </c>
      <c r="AF43" s="84">
        <v>0</v>
      </c>
      <c r="AG43" s="243">
        <f t="shared" si="0"/>
        <v>-1312.0400000000009</v>
      </c>
      <c r="AH43" s="99">
        <f t="shared" si="3"/>
        <v>10000</v>
      </c>
      <c r="AI43" s="99">
        <f t="shared" si="4"/>
        <v>-11312.04</v>
      </c>
      <c r="AJ43" s="99">
        <f t="shared" si="2"/>
        <v>0</v>
      </c>
      <c r="AK43" s="100">
        <v>1.0934864876712337E-2</v>
      </c>
      <c r="AL43" s="100">
        <v>0.1312040000000001</v>
      </c>
      <c r="AM43" s="101">
        <v>0.1312040000000001</v>
      </c>
    </row>
    <row r="44" spans="1:39" ht="20.100000000000001" customHeight="1" x14ac:dyDescent="0.35">
      <c r="A44" s="255" t="s">
        <v>194</v>
      </c>
      <c r="B44" s="256"/>
      <c r="C44" s="257"/>
      <c r="D44" s="257"/>
      <c r="E44" s="257"/>
      <c r="F44" s="258">
        <f>SUM(F1:F37)</f>
        <v>419880.62</v>
      </c>
      <c r="G44" s="258">
        <f>SUM(G1:G37)</f>
        <v>405540.41000000003</v>
      </c>
      <c r="H44" s="258">
        <f>SUM(H1:H37)</f>
        <v>-30010.229999999996</v>
      </c>
      <c r="I44" s="258">
        <f t="shared" ref="I44:AG44" si="6">SUM(I2:I43)</f>
        <v>8139.89</v>
      </c>
      <c r="J44" s="258">
        <f t="shared" si="6"/>
        <v>-8186.0199999999995</v>
      </c>
      <c r="K44" s="258">
        <f t="shared" si="6"/>
        <v>18220.669999999998</v>
      </c>
      <c r="L44" s="258">
        <f t="shared" si="6"/>
        <v>-9901.880000000001</v>
      </c>
      <c r="M44" s="258">
        <f t="shared" si="6"/>
        <v>115641.48</v>
      </c>
      <c r="N44" s="258">
        <f t="shared" si="6"/>
        <v>-98894.079999999987</v>
      </c>
      <c r="O44" s="258">
        <f t="shared" si="6"/>
        <v>17600.57</v>
      </c>
      <c r="P44" s="258">
        <f t="shared" si="6"/>
        <v>-24206.579999999998</v>
      </c>
      <c r="Q44" s="258">
        <f t="shared" si="6"/>
        <v>11770.61</v>
      </c>
      <c r="R44" s="258">
        <f t="shared" si="6"/>
        <v>-16253.310000000001</v>
      </c>
      <c r="S44" s="258">
        <f t="shared" si="6"/>
        <v>18661.95</v>
      </c>
      <c r="T44" s="258">
        <f t="shared" si="6"/>
        <v>-24291.569999999996</v>
      </c>
      <c r="U44" s="258">
        <f t="shared" si="6"/>
        <v>16726.43</v>
      </c>
      <c r="V44" s="258">
        <f t="shared" si="6"/>
        <v>-15269.42</v>
      </c>
      <c r="W44" s="258">
        <f t="shared" si="6"/>
        <v>38332.65</v>
      </c>
      <c r="X44" s="258">
        <f t="shared" si="6"/>
        <v>-29083.339999999997</v>
      </c>
      <c r="Y44" s="258">
        <f t="shared" si="6"/>
        <v>21352.91</v>
      </c>
      <c r="Z44" s="258">
        <f t="shared" si="6"/>
        <v>-44360.959999999999</v>
      </c>
      <c r="AA44" s="258">
        <f t="shared" si="6"/>
        <v>29681.18</v>
      </c>
      <c r="AB44" s="258">
        <f t="shared" si="6"/>
        <v>-30670.28</v>
      </c>
      <c r="AC44" s="258">
        <f t="shared" si="6"/>
        <v>7639.11</v>
      </c>
      <c r="AD44" s="258">
        <f t="shared" si="6"/>
        <v>-31571.99</v>
      </c>
      <c r="AE44" s="258">
        <f t="shared" si="6"/>
        <v>10556.17</v>
      </c>
      <c r="AF44" s="258">
        <f t="shared" si="6"/>
        <v>-20558.28</v>
      </c>
      <c r="AG44" s="258">
        <f t="shared" si="6"/>
        <v>374606.09</v>
      </c>
      <c r="AH44" s="258">
        <f t="shared" ref="AH44:AJ44" si="7">SUM(AH2:AH43)</f>
        <v>757864.02999999991</v>
      </c>
      <c r="AI44" s="258">
        <f t="shared" si="7"/>
        <v>-383257.93999999994</v>
      </c>
      <c r="AJ44" s="258">
        <f t="shared" si="7"/>
        <v>0</v>
      </c>
      <c r="AK44" s="257"/>
      <c r="AL44" s="257"/>
      <c r="AM44" s="259"/>
    </row>
    <row r="45" spans="1:39" ht="20.100000000000001" customHeight="1" x14ac:dyDescent="0.35"/>
    <row r="46" spans="1:39" ht="20.100000000000001" customHeight="1" x14ac:dyDescent="0.35">
      <c r="A46" s="34"/>
    </row>
    <row r="47" spans="1:39" ht="20.100000000000001" customHeight="1" x14ac:dyDescent="0.35">
      <c r="A47" s="34"/>
      <c r="B47" s="34"/>
    </row>
    <row r="48" spans="1:39" ht="20.100000000000001" customHeight="1" x14ac:dyDescent="0.35">
      <c r="A48" s="34"/>
      <c r="B48" s="34"/>
    </row>
    <row r="49" spans="1:2" ht="20.100000000000001" customHeight="1" x14ac:dyDescent="0.35">
      <c r="A49" s="74"/>
      <c r="B49" s="73"/>
    </row>
    <row r="50" spans="1:2" ht="20.100000000000001" customHeight="1" x14ac:dyDescent="0.35"/>
    <row r="51" spans="1:2" ht="20.100000000000001" customHeight="1" x14ac:dyDescent="0.35"/>
    <row r="52" spans="1:2" ht="20.100000000000001" customHeight="1" x14ac:dyDescent="0.35"/>
    <row r="53" spans="1:2" ht="20.100000000000001" customHeight="1" x14ac:dyDescent="0.35"/>
    <row r="54" spans="1:2" ht="20.100000000000001" customHeight="1" x14ac:dyDescent="0.35"/>
    <row r="55" spans="1:2" ht="20.100000000000001" customHeight="1" x14ac:dyDescent="0.35"/>
    <row r="56" spans="1:2" ht="20.100000000000001" customHeight="1" x14ac:dyDescent="0.35"/>
    <row r="57" spans="1:2" ht="20.100000000000001" customHeight="1" x14ac:dyDescent="0.35"/>
    <row r="58" spans="1:2" ht="20.100000000000001" customHeight="1" x14ac:dyDescent="0.35"/>
    <row r="59" spans="1:2" ht="20.100000000000001" customHeight="1" x14ac:dyDescent="0.35"/>
    <row r="60" spans="1:2" ht="20.100000000000001" customHeight="1" x14ac:dyDescent="0.35"/>
    <row r="61" spans="1:2" ht="20.100000000000001" customHeight="1" x14ac:dyDescent="0.35"/>
    <row r="62" spans="1:2" ht="20.100000000000001" customHeight="1" x14ac:dyDescent="0.35"/>
    <row r="63" spans="1:2" ht="20.100000000000001" customHeight="1" x14ac:dyDescent="0.35"/>
    <row r="64" spans="1:2" ht="20.100000000000001" customHeight="1" x14ac:dyDescent="0.35"/>
    <row r="65" ht="20.100000000000001" customHeight="1" x14ac:dyDescent="0.35"/>
    <row r="66" ht="20.100000000000001" customHeight="1" x14ac:dyDescent="0.35"/>
    <row r="67" ht="20.100000000000001" customHeight="1" x14ac:dyDescent="0.35"/>
    <row r="68" ht="20.100000000000001" customHeight="1" x14ac:dyDescent="0.35"/>
    <row r="69" ht="20.100000000000001" customHeight="1" x14ac:dyDescent="0.35"/>
    <row r="70" ht="20.100000000000001" customHeight="1" x14ac:dyDescent="0.35"/>
    <row r="71" ht="20.100000000000001" customHeight="1" x14ac:dyDescent="0.35"/>
    <row r="72" ht="20.100000000000001" customHeight="1" x14ac:dyDescent="0.35"/>
    <row r="73" ht="20.100000000000001" customHeight="1" x14ac:dyDescent="0.35"/>
    <row r="74" ht="20.100000000000001" customHeight="1" x14ac:dyDescent="0.35"/>
    <row r="75" ht="20.100000000000001" customHeight="1" x14ac:dyDescent="0.35"/>
    <row r="76" ht="20.100000000000001" customHeight="1" x14ac:dyDescent="0.35"/>
    <row r="77" ht="20.100000000000001" customHeight="1" x14ac:dyDescent="0.35"/>
    <row r="78" ht="20.100000000000001" customHeight="1" x14ac:dyDescent="0.35"/>
    <row r="79" ht="20.100000000000001" customHeight="1" x14ac:dyDescent="0.35"/>
    <row r="80" ht="20.100000000000001" customHeight="1" x14ac:dyDescent="0.35"/>
    <row r="81" ht="20.100000000000001" customHeight="1" x14ac:dyDescent="0.35"/>
    <row r="82" ht="20.100000000000001" customHeight="1" x14ac:dyDescent="0.35"/>
    <row r="83" ht="20.100000000000001" customHeight="1" x14ac:dyDescent="0.35"/>
    <row r="84" ht="20.100000000000001" customHeight="1" x14ac:dyDescent="0.35"/>
    <row r="85" ht="20.100000000000001" customHeight="1" x14ac:dyDescent="0.35"/>
    <row r="86" ht="20.100000000000001" customHeight="1" x14ac:dyDescent="0.35"/>
  </sheetData>
  <autoFilter ref="A1:AM44" xr:uid="{D36BEE3B-77A6-48C6-BC54-22A2EB33A9F7}">
    <sortState xmlns:xlrd2="http://schemas.microsoft.com/office/spreadsheetml/2017/richdata2" ref="A37:AM41">
      <sortCondition ref="E1:E44"/>
    </sortState>
  </autoFilter>
  <dataConsolidate>
    <dataRefs count="1">
      <dataRef ref="F5:F61" sheet="VALORES MENSAIS" r:id="rId1"/>
    </dataRefs>
  </dataConsolidate>
  <phoneticPr fontId="22" type="noConversion"/>
  <conditionalFormatting sqref="AK27:AM27 AG2 AK18:AM23 AK29:AM31 AJ2:AM7 AK34:AM38">
    <cfRule type="cellIs" dxfId="21" priority="12" operator="lessThan">
      <formula>0</formula>
    </cfRule>
  </conditionalFormatting>
  <conditionalFormatting sqref="AH11:AJ11 AH23:AJ23 AH25:AJ25 AH18:AM18 AH30:AJ30 AH42:AJ42 AH15:AM15 Q2:AF13 AJ2:AM13 AH44:AJ44 AJ9:AJ44 AK12:AM44 AG2:AI44">
    <cfRule type="cellIs" dxfId="20" priority="13" operator="equal">
      <formula>0</formula>
    </cfRule>
  </conditionalFormatting>
  <conditionalFormatting sqref="A2:AM3 A4:F4 I4:AM4 A5:AM44">
    <cfRule type="expression" dxfId="19" priority="11">
      <formula>"MOD(LIGNE(),2)=0"</formula>
    </cfRule>
  </conditionalFormatting>
  <conditionalFormatting sqref="F2:AM3 F4 I4:AM4 F5:AM44">
    <cfRule type="cellIs" dxfId="18" priority="10" operator="greaterThan">
      <formula>0</formula>
    </cfRule>
  </conditionalFormatting>
  <conditionalFormatting sqref="F2:AM3 F4 I4:AM4 F5:AM44">
    <cfRule type="cellIs" dxfId="17" priority="9" operator="lessThan">
      <formula>0</formula>
    </cfRule>
  </conditionalFormatting>
  <conditionalFormatting sqref="B49">
    <cfRule type="expression" dxfId="16" priority="8">
      <formula>"MOD(LIGNE(),2)=0"</formula>
    </cfRule>
  </conditionalFormatting>
  <conditionalFormatting sqref="A49">
    <cfRule type="expression" dxfId="15" priority="7">
      <formula>"MOD(LIGNE(),2)=0"</formula>
    </cfRule>
  </conditionalFormatting>
  <conditionalFormatting sqref="G4:H4">
    <cfRule type="cellIs" dxfId="14" priority="4" operator="equal">
      <formula>0</formula>
    </cfRule>
  </conditionalFormatting>
  <conditionalFormatting sqref="G4:H4">
    <cfRule type="expression" dxfId="13" priority="3">
      <formula>"MOD(LIGNE(),2)=0"</formula>
    </cfRule>
  </conditionalFormatting>
  <conditionalFormatting sqref="G4:H4">
    <cfRule type="cellIs" dxfId="12" priority="2" operator="greaterThan">
      <formula>0</formula>
    </cfRule>
  </conditionalFormatting>
  <conditionalFormatting sqref="G4:H4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6FFD5-05B5-4300-BE68-5957BBAD3910}">
  <sheetPr codeName="Feuil9">
    <tabColor theme="4" tint="-0.499984740745262"/>
  </sheetPr>
  <dimension ref="A1:E48"/>
  <sheetViews>
    <sheetView zoomScale="110" zoomScaleNormal="110" workbookViewId="0">
      <pane ySplit="1" topLeftCell="A32" activePane="bottomLeft" state="frozen"/>
      <selection activeCell="C1" sqref="C1"/>
      <selection pane="bottomLeft" activeCell="I41" sqref="I41"/>
    </sheetView>
  </sheetViews>
  <sheetFormatPr baseColWidth="10" defaultRowHeight="11.65" x14ac:dyDescent="0.35"/>
  <cols>
    <col min="1" max="1" width="89.07421875" bestFit="1" customWidth="1"/>
    <col min="2" max="2" width="28.4609375" customWidth="1"/>
    <col min="3" max="3" width="28.69140625" customWidth="1"/>
    <col min="4" max="4" width="31.15234375" customWidth="1"/>
    <col min="5" max="5" width="39.61328125" customWidth="1"/>
  </cols>
  <sheetData>
    <row r="1" spans="1:5" ht="30" customHeight="1" thickTop="1" x14ac:dyDescent="0.35">
      <c r="A1" s="78" t="s">
        <v>325</v>
      </c>
      <c r="B1" s="79" t="s">
        <v>155</v>
      </c>
      <c r="C1" s="79" t="s">
        <v>193</v>
      </c>
      <c r="D1" s="79" t="s">
        <v>156</v>
      </c>
      <c r="E1" s="249" t="s">
        <v>301</v>
      </c>
    </row>
    <row r="2" spans="1:5" ht="30" customHeight="1" x14ac:dyDescent="0.35">
      <c r="A2" s="311" t="s">
        <v>11</v>
      </c>
      <c r="B2" s="296">
        <v>-3.2553182222827791E-2</v>
      </c>
      <c r="C2" s="296">
        <v>-0.39059538170059643</v>
      </c>
      <c r="D2" s="296">
        <v>-0.92565754841374226</v>
      </c>
      <c r="E2" s="298">
        <v>2.8249212957508964E-2</v>
      </c>
    </row>
    <row r="3" spans="1:5" ht="30" customHeight="1" x14ac:dyDescent="0.35">
      <c r="A3" s="312" t="s">
        <v>196</v>
      </c>
      <c r="B3" s="297">
        <v>-2.2070101428702263E-2</v>
      </c>
      <c r="C3" s="297">
        <v>-0.26481219662972799</v>
      </c>
      <c r="D3" s="297">
        <v>-0.70810055865921784</v>
      </c>
      <c r="E3" s="299">
        <v>9.8672789631266238E-3</v>
      </c>
    </row>
    <row r="4" spans="1:5" ht="30" customHeight="1" x14ac:dyDescent="0.35">
      <c r="A4" s="313" t="s">
        <v>160</v>
      </c>
      <c r="B4" s="296">
        <v>-1.3607020677966101E-2</v>
      </c>
      <c r="C4" s="296">
        <v>-0.16326635593220337</v>
      </c>
      <c r="D4" s="296">
        <v>-0.42225599999999996</v>
      </c>
      <c r="E4" s="298">
        <v>1.1503082598525716E-2</v>
      </c>
    </row>
    <row r="5" spans="1:5" ht="30" customHeight="1" x14ac:dyDescent="0.35">
      <c r="A5" s="314" t="s">
        <v>72</v>
      </c>
      <c r="B5" s="297">
        <v>-9.7288385546611938E-3</v>
      </c>
      <c r="C5" s="297">
        <v>-0.11673326996881445</v>
      </c>
      <c r="D5" s="297">
        <v>-0.36619066880628093</v>
      </c>
      <c r="E5" s="299">
        <v>1.2256968910247149E-2</v>
      </c>
    </row>
    <row r="6" spans="1:5" ht="30" customHeight="1" x14ac:dyDescent="0.35">
      <c r="A6" s="313" t="s">
        <v>73</v>
      </c>
      <c r="B6" s="296">
        <v>-9.0137962990457336E-3</v>
      </c>
      <c r="C6" s="296">
        <v>-0.10815370312793204</v>
      </c>
      <c r="D6" s="296">
        <v>-0.39142751186848829</v>
      </c>
      <c r="E6" s="298">
        <v>2.2487348170013525E-2</v>
      </c>
    </row>
    <row r="7" spans="1:5" ht="30" customHeight="1" x14ac:dyDescent="0.35">
      <c r="A7" s="314" t="s">
        <v>281</v>
      </c>
      <c r="B7" s="297">
        <v>-6.7682900882766409E-3</v>
      </c>
      <c r="C7" s="297">
        <v>-8.121058126959152E-2</v>
      </c>
      <c r="D7" s="297">
        <v>-7.0975823082190942E-2</v>
      </c>
      <c r="E7" s="299">
        <v>0.12718564669615035</v>
      </c>
    </row>
    <row r="8" spans="1:5" ht="30" customHeight="1" x14ac:dyDescent="0.35">
      <c r="A8" s="311" t="s">
        <v>302</v>
      </c>
      <c r="B8" s="296">
        <v>-4.2275727374535711E-3</v>
      </c>
      <c r="C8" s="296">
        <v>-5.072531391093206E-2</v>
      </c>
      <c r="D8" s="296">
        <v>-0.12354740840224275</v>
      </c>
      <c r="E8" s="298">
        <v>4.2915506200390759E-2</v>
      </c>
    </row>
    <row r="9" spans="1:5" ht="30" customHeight="1" x14ac:dyDescent="0.35">
      <c r="A9" s="314" t="s">
        <v>237</v>
      </c>
      <c r="B9" s="297">
        <v>0</v>
      </c>
      <c r="C9" s="297">
        <v>0</v>
      </c>
      <c r="D9" s="297">
        <v>0</v>
      </c>
      <c r="E9" s="299">
        <v>7.4092020808003117E-2</v>
      </c>
    </row>
    <row r="10" spans="1:5" ht="30" customHeight="1" x14ac:dyDescent="0.35">
      <c r="A10" s="314" t="s">
        <v>241</v>
      </c>
      <c r="B10" s="297">
        <v>0</v>
      </c>
      <c r="C10" s="297">
        <v>0</v>
      </c>
      <c r="D10" s="297">
        <v>0</v>
      </c>
      <c r="E10" s="299">
        <v>2.2227606242400937E-2</v>
      </c>
    </row>
    <row r="11" spans="1:5" ht="30" customHeight="1" x14ac:dyDescent="0.35">
      <c r="A11" s="313" t="s">
        <v>223</v>
      </c>
      <c r="B11" s="296">
        <v>0</v>
      </c>
      <c r="C11" s="296">
        <v>0</v>
      </c>
      <c r="D11" s="296">
        <v>0</v>
      </c>
      <c r="E11" s="298">
        <v>4.9394680538668745E-2</v>
      </c>
    </row>
    <row r="12" spans="1:5" ht="30" customHeight="1" x14ac:dyDescent="0.35">
      <c r="A12" s="314" t="s">
        <v>224</v>
      </c>
      <c r="B12" s="297">
        <v>0</v>
      </c>
      <c r="C12" s="297">
        <v>0</v>
      </c>
      <c r="D12" s="297">
        <v>0</v>
      </c>
      <c r="E12" s="299">
        <v>7.4092020808003117E-2</v>
      </c>
    </row>
    <row r="13" spans="1:5" ht="30" customHeight="1" x14ac:dyDescent="0.35">
      <c r="A13" s="313" t="s">
        <v>276</v>
      </c>
      <c r="B13" s="296">
        <v>4.8650191464809378E-4</v>
      </c>
      <c r="C13" s="296">
        <v>5.8373832625428735E-3</v>
      </c>
      <c r="D13" s="296">
        <v>4.6059352866091715E-3</v>
      </c>
      <c r="E13" s="298">
        <v>0</v>
      </c>
    </row>
    <row r="14" spans="1:5" ht="30" customHeight="1" x14ac:dyDescent="0.35">
      <c r="A14" s="314" t="s">
        <v>221</v>
      </c>
      <c r="B14" s="297">
        <v>5.2657749731471379E-4</v>
      </c>
      <c r="C14" s="297">
        <v>6.318237558181148E-3</v>
      </c>
      <c r="D14" s="297">
        <v>1.6115833333333284E-2</v>
      </c>
      <c r="E14" s="299">
        <v>2.9636808323201248E-2</v>
      </c>
    </row>
    <row r="15" spans="1:5" ht="30" customHeight="1" x14ac:dyDescent="0.35">
      <c r="A15" s="313" t="s">
        <v>214</v>
      </c>
      <c r="B15" s="296">
        <v>8.2530113780025435E-4</v>
      </c>
      <c r="C15" s="296">
        <v>9.9025284450063381E-3</v>
      </c>
      <c r="D15" s="296">
        <v>2.1460000000000038E-2</v>
      </c>
      <c r="E15" s="298">
        <v>1.7288138188534061E-2</v>
      </c>
    </row>
    <row r="16" spans="1:5" ht="30" customHeight="1" x14ac:dyDescent="0.35">
      <c r="A16" s="314" t="s">
        <v>245</v>
      </c>
      <c r="B16" s="297">
        <v>9.5915125170881882E-4</v>
      </c>
      <c r="C16" s="297">
        <v>1.1508553809129482E-2</v>
      </c>
      <c r="D16" s="297">
        <v>1.4125567415041118E-2</v>
      </c>
      <c r="E16" s="299">
        <v>4.3794064685791787E-3</v>
      </c>
    </row>
    <row r="17" spans="1:5" ht="30" customHeight="1" x14ac:dyDescent="0.35">
      <c r="A17" s="313" t="s">
        <v>213</v>
      </c>
      <c r="B17" s="296">
        <v>1.3987854082753105E-3</v>
      </c>
      <c r="C17" s="296">
        <v>1.6783585602251423E-2</v>
      </c>
      <c r="D17" s="296">
        <v>5.0626651364599498E-2</v>
      </c>
      <c r="E17" s="298">
        <v>0</v>
      </c>
    </row>
    <row r="18" spans="1:5" ht="30" customHeight="1" x14ac:dyDescent="0.35">
      <c r="A18" s="314" t="s">
        <v>291</v>
      </c>
      <c r="B18" s="297">
        <v>2.332414376321357E-3</v>
      </c>
      <c r="C18" s="297">
        <v>2.7985905567300962E-2</v>
      </c>
      <c r="D18" s="297">
        <v>3.6266666666666725E-2</v>
      </c>
      <c r="E18" s="299">
        <v>0</v>
      </c>
    </row>
    <row r="19" spans="1:5" ht="30" customHeight="1" x14ac:dyDescent="0.35">
      <c r="A19" s="313" t="s">
        <v>289</v>
      </c>
      <c r="B19" s="296">
        <v>3.0540463199999978E-3</v>
      </c>
      <c r="C19" s="296">
        <v>3.6644539999999969E-2</v>
      </c>
      <c r="D19" s="296">
        <v>2.5098999999999979E-2</v>
      </c>
      <c r="E19" s="298">
        <v>2.4697340269334372E-2</v>
      </c>
    </row>
    <row r="20" spans="1:5" ht="30" customHeight="1" x14ac:dyDescent="0.35">
      <c r="A20" s="314" t="s">
        <v>280</v>
      </c>
      <c r="B20" s="297">
        <v>3.0808291828306818E-3</v>
      </c>
      <c r="C20" s="297">
        <v>3.6965899136528563E-2</v>
      </c>
      <c r="D20" s="297">
        <v>6.6336065573770434E-2</v>
      </c>
      <c r="E20" s="299">
        <v>1.5065377564293967E-2</v>
      </c>
    </row>
    <row r="21" spans="1:5" ht="30" customHeight="1" x14ac:dyDescent="0.35">
      <c r="A21" s="313" t="s">
        <v>235</v>
      </c>
      <c r="B21" s="296">
        <v>3.2781553097888413E-3</v>
      </c>
      <c r="C21" s="296">
        <v>3.9333553191088992E-2</v>
      </c>
      <c r="D21" s="296">
        <v>8.0606843251875518E-2</v>
      </c>
      <c r="E21" s="298">
        <v>0</v>
      </c>
    </row>
    <row r="22" spans="1:5" ht="30" customHeight="1" x14ac:dyDescent="0.35">
      <c r="A22" s="314" t="s">
        <v>236</v>
      </c>
      <c r="B22" s="297">
        <v>4.1800692022263466E-3</v>
      </c>
      <c r="C22" s="297">
        <v>5.0155333951762533E-2</v>
      </c>
      <c r="D22" s="297">
        <v>0.17506272727272731</v>
      </c>
      <c r="E22" s="299">
        <v>2.7167074296267812E-2</v>
      </c>
    </row>
    <row r="23" spans="1:5" ht="30" customHeight="1" x14ac:dyDescent="0.35">
      <c r="A23" s="313" t="s">
        <v>159</v>
      </c>
      <c r="B23" s="296">
        <v>4.3421874608150467E-3</v>
      </c>
      <c r="C23" s="296">
        <v>5.2100539881574363E-2</v>
      </c>
      <c r="D23" s="296">
        <v>0.13660333333333333</v>
      </c>
      <c r="E23" s="298">
        <v>0</v>
      </c>
    </row>
    <row r="24" spans="1:5" ht="30" customHeight="1" x14ac:dyDescent="0.35">
      <c r="A24" s="314" t="s">
        <v>277</v>
      </c>
      <c r="B24" s="297">
        <v>4.7338784643510068E-3</v>
      </c>
      <c r="C24" s="297">
        <v>5.6800316879951261E-2</v>
      </c>
      <c r="D24" s="297">
        <v>8.512266666666668E-2</v>
      </c>
      <c r="E24" s="299">
        <v>0</v>
      </c>
    </row>
    <row r="25" spans="1:5" ht="30" customHeight="1" x14ac:dyDescent="0.35">
      <c r="A25" s="313" t="s">
        <v>278</v>
      </c>
      <c r="B25" s="296">
        <v>4.9618298802395298E-3</v>
      </c>
      <c r="C25" s="296">
        <v>5.9535434131736627E-2</v>
      </c>
      <c r="D25" s="296">
        <v>5.447900000000009E-2</v>
      </c>
      <c r="E25" s="298">
        <v>0</v>
      </c>
    </row>
    <row r="26" spans="1:5" ht="30" customHeight="1" x14ac:dyDescent="0.35">
      <c r="A26" s="314" t="s">
        <v>243</v>
      </c>
      <c r="B26" s="297">
        <v>6.530353405994554E-3</v>
      </c>
      <c r="C26" s="297">
        <v>7.8355653950953716E-2</v>
      </c>
      <c r="D26" s="297">
        <v>0.15757000000000007</v>
      </c>
      <c r="E26" s="299">
        <v>2.4697340269334372E-2</v>
      </c>
    </row>
    <row r="27" spans="1:5" ht="30" customHeight="1" x14ac:dyDescent="0.35">
      <c r="A27" s="311" t="s">
        <v>220</v>
      </c>
      <c r="B27" s="296">
        <v>6.5643279929235862E-3</v>
      </c>
      <c r="C27" s="296">
        <v>7.8763304320089045E-2</v>
      </c>
      <c r="D27" s="296">
        <v>7.8763304320089045E-2</v>
      </c>
      <c r="E27" s="298">
        <v>0</v>
      </c>
    </row>
    <row r="28" spans="1:5" ht="30" customHeight="1" x14ac:dyDescent="0.35">
      <c r="A28" s="314" t="s">
        <v>197</v>
      </c>
      <c r="B28" s="297">
        <v>7.5869637700406332E-3</v>
      </c>
      <c r="C28" s="297">
        <v>9.1033588956766304E-2</v>
      </c>
      <c r="D28" s="297">
        <v>0.25439523489288118</v>
      </c>
      <c r="E28" s="299">
        <v>9.4355200605381207E-3</v>
      </c>
    </row>
    <row r="29" spans="1:5" ht="30" customHeight="1" x14ac:dyDescent="0.35">
      <c r="A29" s="313" t="s">
        <v>230</v>
      </c>
      <c r="B29" s="296">
        <v>8.39170385173248E-3</v>
      </c>
      <c r="C29" s="296">
        <v>0.10068941176470594</v>
      </c>
      <c r="D29" s="296">
        <v>0.10068941176470594</v>
      </c>
      <c r="E29" s="298">
        <v>0</v>
      </c>
    </row>
    <row r="30" spans="1:5" ht="30" customHeight="1" x14ac:dyDescent="0.35">
      <c r="A30" s="314" t="s">
        <v>283</v>
      </c>
      <c r="B30" s="297">
        <v>8.8078618556700992E-3</v>
      </c>
      <c r="C30" s="297">
        <v>0.10568276059564716</v>
      </c>
      <c r="D30" s="297">
        <v>8.4256666666666633E-2</v>
      </c>
      <c r="E30" s="299">
        <v>3.4214361552761294E-2</v>
      </c>
    </row>
    <row r="31" spans="1:5" ht="30" customHeight="1" x14ac:dyDescent="0.35">
      <c r="A31" s="313" t="s">
        <v>285</v>
      </c>
      <c r="B31" s="296">
        <v>8.9000859106529214E-3</v>
      </c>
      <c r="C31" s="296">
        <v>0.1067893279877816</v>
      </c>
      <c r="D31" s="296">
        <v>8.5138888888888889E-2</v>
      </c>
      <c r="E31" s="298">
        <v>4.4455212484801873E-2</v>
      </c>
    </row>
    <row r="32" spans="1:5" ht="30" customHeight="1" x14ac:dyDescent="0.35">
      <c r="A32" s="314" t="s">
        <v>284</v>
      </c>
      <c r="B32" s="297">
        <v>8.9424562499999978E-3</v>
      </c>
      <c r="C32" s="297">
        <v>0.10729771634615382</v>
      </c>
      <c r="D32" s="297">
        <v>6.1144999999999984E-2</v>
      </c>
      <c r="E32" s="299">
        <v>0</v>
      </c>
    </row>
    <row r="33" spans="1:5" ht="30" customHeight="1" x14ac:dyDescent="0.35">
      <c r="A33" s="313" t="s">
        <v>218</v>
      </c>
      <c r="B33" s="296">
        <v>9.3843616438356176E-3</v>
      </c>
      <c r="C33" s="296">
        <v>0.11260000000000001</v>
      </c>
      <c r="D33" s="296">
        <v>0.11260000000000001</v>
      </c>
      <c r="E33" s="298">
        <v>0</v>
      </c>
    </row>
    <row r="34" spans="1:5" ht="30" customHeight="1" x14ac:dyDescent="0.35">
      <c r="A34" s="312" t="s">
        <v>217</v>
      </c>
      <c r="B34" s="297">
        <v>9.4417519238568313E-3</v>
      </c>
      <c r="C34" s="297">
        <v>0.11328860789637551</v>
      </c>
      <c r="D34" s="297">
        <v>0.11328860789637551</v>
      </c>
      <c r="E34" s="299">
        <v>0</v>
      </c>
    </row>
    <row r="35" spans="1:5" ht="30" customHeight="1" x14ac:dyDescent="0.35">
      <c r="A35" s="311" t="s">
        <v>303</v>
      </c>
      <c r="B35" s="296">
        <v>9.529007819548874E-3</v>
      </c>
      <c r="C35" s="296">
        <v>0.11433556390977445</v>
      </c>
      <c r="D35" s="296">
        <v>0.20831000000000002</v>
      </c>
      <c r="E35" s="298">
        <v>2.4697340269334372E-2</v>
      </c>
    </row>
    <row r="36" spans="1:5" ht="30" customHeight="1" x14ac:dyDescent="0.35">
      <c r="A36" s="314" t="s">
        <v>292</v>
      </c>
      <c r="B36" s="297">
        <v>9.7249254064642517E-3</v>
      </c>
      <c r="C36" s="297">
        <v>0.11668631733594516</v>
      </c>
      <c r="D36" s="297">
        <v>0.32640200000000003</v>
      </c>
      <c r="E36" s="299">
        <v>1.0672634531969347E-2</v>
      </c>
    </row>
    <row r="37" spans="1:5" ht="30" customHeight="1" x14ac:dyDescent="0.35">
      <c r="A37" s="313" t="s">
        <v>239</v>
      </c>
      <c r="B37" s="296">
        <v>1.0165750626703001E-2</v>
      </c>
      <c r="C37" s="296">
        <v>0.12197564032697553</v>
      </c>
      <c r="D37" s="296">
        <v>0.12264400000000004</v>
      </c>
      <c r="E37" s="298">
        <v>0</v>
      </c>
    </row>
    <row r="38" spans="1:5" ht="30" customHeight="1" x14ac:dyDescent="0.35">
      <c r="A38" s="312" t="s">
        <v>238</v>
      </c>
      <c r="B38" s="297">
        <v>1.0179961867401546E-2</v>
      </c>
      <c r="C38" s="297">
        <v>0.12214615652865102</v>
      </c>
      <c r="D38" s="297">
        <v>0.12214615652865102</v>
      </c>
      <c r="E38" s="299">
        <v>0</v>
      </c>
    </row>
    <row r="39" spans="1:5" ht="30" customHeight="1" x14ac:dyDescent="0.35">
      <c r="A39" s="313" t="s">
        <v>229</v>
      </c>
      <c r="B39" s="296">
        <v>1.0557728235294123E-2</v>
      </c>
      <c r="C39" s="296">
        <v>0.12667885620915037</v>
      </c>
      <c r="D39" s="296">
        <v>0.21240400000000009</v>
      </c>
      <c r="E39" s="298">
        <v>2.4697340269334372E-2</v>
      </c>
    </row>
    <row r="40" spans="1:5" ht="30" customHeight="1" x14ac:dyDescent="0.35">
      <c r="A40" s="314" t="s">
        <v>244</v>
      </c>
      <c r="B40" s="297">
        <v>1.0647726014319814E-2</v>
      </c>
      <c r="C40" s="297">
        <v>0.12775871121718382</v>
      </c>
      <c r="D40" s="297">
        <v>0.14666000000000007</v>
      </c>
      <c r="E40" s="299">
        <v>1.9757872215467497E-2</v>
      </c>
    </row>
    <row r="41" spans="1:5" ht="30" customHeight="1" x14ac:dyDescent="0.35">
      <c r="A41" s="311" t="s">
        <v>225</v>
      </c>
      <c r="B41" s="296">
        <v>1.0864944924154026E-2</v>
      </c>
      <c r="C41" s="296">
        <v>0.13036505250875144</v>
      </c>
      <c r="D41" s="296">
        <v>0.30608999999999997</v>
      </c>
      <c r="E41" s="298">
        <v>1.4818404161600624E-2</v>
      </c>
    </row>
    <row r="42" spans="1:5" ht="30" customHeight="1" x14ac:dyDescent="0.35">
      <c r="A42" s="314" t="s">
        <v>240</v>
      </c>
      <c r="B42" s="297">
        <v>1.0934864876712337E-2</v>
      </c>
      <c r="C42" s="297">
        <v>0.1312040000000001</v>
      </c>
      <c r="D42" s="297">
        <v>0.1312040000000001</v>
      </c>
      <c r="E42" s="299">
        <v>0</v>
      </c>
    </row>
    <row r="43" spans="1:5" ht="30" customHeight="1" x14ac:dyDescent="0.35">
      <c r="A43" s="311" t="s">
        <v>282</v>
      </c>
      <c r="B43" s="296">
        <v>1.1658839587628858E-2</v>
      </c>
      <c r="C43" s="296">
        <v>0.13989074455899186</v>
      </c>
      <c r="D43" s="296">
        <v>0.11152933333333324</v>
      </c>
      <c r="E43" s="298">
        <v>3.7046010404001559E-2</v>
      </c>
    </row>
    <row r="44" spans="1:5" ht="30" customHeight="1" x14ac:dyDescent="0.35">
      <c r="A44" s="314" t="s">
        <v>212</v>
      </c>
      <c r="B44" s="297">
        <v>1.1982957129186607E-2</v>
      </c>
      <c r="C44" s="297">
        <v>0.14377972886762364</v>
      </c>
      <c r="D44" s="297">
        <v>0.24698600000000007</v>
      </c>
      <c r="E44" s="299">
        <v>2.4697340269334372E-2</v>
      </c>
    </row>
    <row r="45" spans="1:5" ht="30" customHeight="1" x14ac:dyDescent="0.35">
      <c r="A45" s="311" t="s">
        <v>226</v>
      </c>
      <c r="B45" s="296">
        <v>1.2022910707701038E-2</v>
      </c>
      <c r="C45" s="296">
        <v>0.1442591192738619</v>
      </c>
      <c r="D45" s="296">
        <v>0.25334272727272733</v>
      </c>
      <c r="E45" s="298">
        <v>2.7167074296267812E-2</v>
      </c>
    </row>
    <row r="46" spans="1:5" ht="30" customHeight="1" x14ac:dyDescent="0.35">
      <c r="A46" s="312" t="s">
        <v>219</v>
      </c>
      <c r="B46" s="297">
        <v>1.251493739288069E-2</v>
      </c>
      <c r="C46" s="297">
        <v>0.15016279251812795</v>
      </c>
      <c r="D46" s="297">
        <v>0.26988162162162171</v>
      </c>
      <c r="E46" s="299">
        <v>9.1380158996537175E-2</v>
      </c>
    </row>
    <row r="47" spans="1:5" ht="30" customHeight="1" thickBot="1" x14ac:dyDescent="0.5">
      <c r="A47" s="315" t="s">
        <v>287</v>
      </c>
      <c r="B47" s="316">
        <v>1.3426545823389016E-2</v>
      </c>
      <c r="C47" s="316">
        <v>0.16110089498806676</v>
      </c>
      <c r="D47" s="316">
        <v>0.18493499999999993</v>
      </c>
      <c r="E47" s="317">
        <v>1.9757872215467497E-2</v>
      </c>
    </row>
    <row r="48" spans="1:5" ht="12" thickTop="1" x14ac:dyDescent="0.35"/>
  </sheetData>
  <autoFilter ref="A1:E46" xr:uid="{8166FFD5-05B5-4300-BE68-5957BBAD3910}">
    <sortState xmlns:xlrd2="http://schemas.microsoft.com/office/spreadsheetml/2017/richdata2" ref="A2:E46">
      <sortCondition descending="1" ref="E1:E4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outon1_Cliquer">
                <anchor moveWithCells="1" sizeWithCells="1">
                  <from>
                    <xdr:col>7</xdr:col>
                    <xdr:colOff>657225</xdr:colOff>
                    <xdr:row>42</xdr:row>
                    <xdr:rowOff>314325</xdr:rowOff>
                  </from>
                  <to>
                    <xdr:col>9</xdr:col>
                    <xdr:colOff>523875</xdr:colOff>
                    <xdr:row>44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0047D-5ACA-4B07-B0AD-EE116BFBD5A2}">
  <sheetPr codeName="Feuil16"/>
  <dimension ref="A1:C11"/>
  <sheetViews>
    <sheetView zoomScale="220" zoomScaleNormal="220" workbookViewId="0">
      <selection activeCell="C2" sqref="C2"/>
    </sheetView>
  </sheetViews>
  <sheetFormatPr baseColWidth="10" defaultRowHeight="11.65" x14ac:dyDescent="0.35"/>
  <sheetData>
    <row r="1" spans="1:3" x14ac:dyDescent="0.35">
      <c r="A1" s="103">
        <v>1092</v>
      </c>
      <c r="B1" s="103"/>
      <c r="C1" s="103">
        <v>20558.28</v>
      </c>
    </row>
    <row r="2" spans="1:3" x14ac:dyDescent="0.35">
      <c r="A2" s="103">
        <v>500</v>
      </c>
      <c r="B2" s="103"/>
      <c r="C2" s="103">
        <v>10380</v>
      </c>
    </row>
    <row r="3" spans="1:3" x14ac:dyDescent="0.35">
      <c r="A3" s="103">
        <v>1000</v>
      </c>
      <c r="B3" s="103"/>
      <c r="C3" s="103"/>
    </row>
    <row r="4" spans="1:3" x14ac:dyDescent="0.35">
      <c r="A4" s="103">
        <v>2700</v>
      </c>
      <c r="B4" s="103"/>
      <c r="C4" s="103"/>
    </row>
    <row r="5" spans="1:3" x14ac:dyDescent="0.35">
      <c r="A5" s="103">
        <v>1527</v>
      </c>
      <c r="B5" s="103"/>
      <c r="C5" s="103"/>
    </row>
    <row r="6" spans="1:3" x14ac:dyDescent="0.35">
      <c r="A6" s="103">
        <v>558</v>
      </c>
      <c r="B6" s="103"/>
      <c r="C6" s="103"/>
    </row>
    <row r="7" spans="1:3" x14ac:dyDescent="0.35">
      <c r="A7" s="103">
        <v>500</v>
      </c>
      <c r="B7" s="103"/>
      <c r="C7" s="103"/>
    </row>
    <row r="8" spans="1:3" x14ac:dyDescent="0.35">
      <c r="A8" s="103">
        <v>12500</v>
      </c>
      <c r="B8" s="103"/>
      <c r="C8" s="103"/>
    </row>
    <row r="9" spans="1:3" x14ac:dyDescent="0.35">
      <c r="A9" s="103">
        <v>10556.17</v>
      </c>
      <c r="B9" s="103"/>
      <c r="C9" s="103"/>
    </row>
    <row r="10" spans="1:3" x14ac:dyDescent="0.35">
      <c r="A10" s="103"/>
      <c r="B10" s="103"/>
      <c r="C10" s="103"/>
    </row>
    <row r="11" spans="1:3" x14ac:dyDescent="0.35">
      <c r="A11" s="272">
        <f>SUM(A1:A10)</f>
        <v>30933.17</v>
      </c>
      <c r="B11" s="272"/>
      <c r="C11" s="272">
        <f t="shared" ref="C11" si="0">SUM(C1:C10)</f>
        <v>30938.28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6A549-D555-4EF6-851B-FEA4D9C8D869}">
  <sheetPr codeName="Feuil11">
    <tabColor rgb="FF92D050"/>
  </sheetPr>
  <dimension ref="A1"/>
  <sheetViews>
    <sheetView topLeftCell="A44" zoomScale="150" zoomScaleNormal="150" workbookViewId="0">
      <selection activeCell="C69" sqref="C69"/>
    </sheetView>
  </sheetViews>
  <sheetFormatPr baseColWidth="10" defaultRowHeight="11.65" x14ac:dyDescent="0.3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A2B93-02F5-4787-B9F1-77FC4F35E112}">
  <sheetPr codeName="Feuil12">
    <tabColor theme="4" tint="0.59999389629810485"/>
  </sheetPr>
  <dimension ref="A1:H65"/>
  <sheetViews>
    <sheetView zoomScale="150" zoomScaleNormal="150" workbookViewId="0">
      <pane xSplit="1" ySplit="1" topLeftCell="B45" activePane="bottomRight" state="frozen"/>
      <selection pane="topRight" activeCell="B1" sqref="B1"/>
      <selection pane="bottomLeft" activeCell="A2" sqref="A2"/>
      <selection pane="bottomRight" activeCell="F47" sqref="F47"/>
    </sheetView>
  </sheetViews>
  <sheetFormatPr baseColWidth="10" defaultColWidth="11.3828125" defaultRowHeight="11.65" x14ac:dyDescent="0.35"/>
  <cols>
    <col min="1" max="1" width="27.3828125" customWidth="1"/>
    <col min="2" max="2" width="19.3828125" bestFit="1" customWidth="1"/>
    <col min="3" max="3" width="21.765625" bestFit="1" customWidth="1"/>
    <col min="4" max="5" width="20.4609375" bestFit="1" customWidth="1"/>
    <col min="6" max="6" width="19" customWidth="1"/>
    <col min="7" max="7" width="21.3828125" customWidth="1"/>
    <col min="8" max="8" width="18.3046875" customWidth="1"/>
    <col min="9" max="9" width="16.84375" bestFit="1" customWidth="1"/>
    <col min="10" max="10" width="13" customWidth="1"/>
    <col min="11" max="11" width="19.3046875" customWidth="1"/>
    <col min="12" max="12" width="19.15234375" customWidth="1"/>
    <col min="13" max="13" width="20.3046875" bestFit="1" customWidth="1"/>
    <col min="14" max="14" width="22.3046875" bestFit="1" customWidth="1"/>
    <col min="15" max="15" width="23.15234375" customWidth="1"/>
    <col min="16" max="16" width="25.69140625" customWidth="1"/>
    <col min="17" max="17" width="26.3828125" customWidth="1"/>
    <col min="18" max="18" width="22.69140625" customWidth="1"/>
    <col min="19" max="19" width="24.3828125" customWidth="1"/>
    <col min="20" max="20" width="23.3046875" customWidth="1"/>
    <col min="21" max="21" width="23.84375" bestFit="1" customWidth="1"/>
  </cols>
  <sheetData>
    <row r="1" spans="1:5" ht="45.4" thickTop="1" x14ac:dyDescent="0.35">
      <c r="A1" s="185" t="s">
        <v>140</v>
      </c>
      <c r="B1" s="186" t="s">
        <v>203</v>
      </c>
      <c r="C1" s="186" t="s">
        <v>204</v>
      </c>
      <c r="D1" s="186" t="s">
        <v>205</v>
      </c>
      <c r="E1" s="187" t="s">
        <v>206</v>
      </c>
    </row>
    <row r="2" spans="1:5" ht="20.100000000000001" customHeight="1" x14ac:dyDescent="0.35">
      <c r="A2" s="192" t="str">
        <f>'[3]VARIACAO PATRIMONIAL'!A2</f>
        <v>JANEIRO 2020</v>
      </c>
      <c r="B2" s="198">
        <v>0</v>
      </c>
      <c r="C2" s="198">
        <f>'[3]VARIACAO PATRIMONIAL'!C2</f>
        <v>0</v>
      </c>
      <c r="D2" s="198">
        <f>'[3]VARIACAO PATRIMONIAL'!D2</f>
        <v>0</v>
      </c>
      <c r="E2" s="199">
        <f>'[3]VARIACAO PATRIMONIAL'!E2</f>
        <v>0</v>
      </c>
    </row>
    <row r="3" spans="1:5" ht="20.100000000000001" customHeight="1" x14ac:dyDescent="0.35">
      <c r="A3" s="193" t="str">
        <f>'[3]VARIACAO PATRIMONIAL'!A3</f>
        <v>FEVEREIRO 2020</v>
      </c>
      <c r="B3" s="200">
        <v>0</v>
      </c>
      <c r="C3" s="200">
        <f>'[3]VARIACAO PATRIMONIAL'!C3</f>
        <v>0</v>
      </c>
      <c r="D3" s="200">
        <f>'[3]VARIACAO PATRIMONIAL'!D3</f>
        <v>0</v>
      </c>
      <c r="E3" s="201">
        <f>'[3]VARIACAO PATRIMONIAL'!E3</f>
        <v>0</v>
      </c>
    </row>
    <row r="4" spans="1:5" ht="20.100000000000001" customHeight="1" x14ac:dyDescent="0.35">
      <c r="A4" s="192" t="str">
        <f>'[3]VARIACAO PATRIMONIAL'!A4</f>
        <v>MARÇO 2020</v>
      </c>
      <c r="B4" s="198">
        <v>0</v>
      </c>
      <c r="C4" s="198">
        <f>'[3]VARIACAO PATRIMONIAL'!C4</f>
        <v>0</v>
      </c>
      <c r="D4" s="198">
        <f>'[3]VARIACAO PATRIMONIAL'!D4</f>
        <v>0</v>
      </c>
      <c r="E4" s="199">
        <f>'[3]VARIACAO PATRIMONIAL'!E4</f>
        <v>0</v>
      </c>
    </row>
    <row r="5" spans="1:5" ht="20.100000000000001" customHeight="1" x14ac:dyDescent="0.35">
      <c r="A5" s="193" t="str">
        <f>'[3]VARIACAO PATRIMONIAL'!A5</f>
        <v>ABRIL 2020</v>
      </c>
      <c r="B5" s="200">
        <v>0</v>
      </c>
      <c r="C5" s="200">
        <f>'[3]VARIACAO PATRIMONIAL'!C5</f>
        <v>0</v>
      </c>
      <c r="D5" s="200">
        <f>'[3]VARIACAO PATRIMONIAL'!D5</f>
        <v>0</v>
      </c>
      <c r="E5" s="201">
        <f>'[3]VARIACAO PATRIMONIAL'!E5</f>
        <v>0</v>
      </c>
    </row>
    <row r="6" spans="1:5" ht="20.100000000000001" customHeight="1" x14ac:dyDescent="0.35">
      <c r="A6" s="192" t="str">
        <f>'[3]VARIACAO PATRIMONIAL'!A6</f>
        <v>MAIO 2020</v>
      </c>
      <c r="B6" s="198">
        <v>174089.65</v>
      </c>
      <c r="C6" s="198">
        <f>'[3]VARIACAO PATRIMONIAL'!C6</f>
        <v>174000</v>
      </c>
      <c r="D6" s="198">
        <f>'[3]VARIACAO PATRIMONIAL'!D6</f>
        <v>0</v>
      </c>
      <c r="E6" s="199">
        <f>'[3]VARIACAO PATRIMONIAL'!E6</f>
        <v>89.649999999994179</v>
      </c>
    </row>
    <row r="7" spans="1:5" ht="20.100000000000001" customHeight="1" x14ac:dyDescent="0.35">
      <c r="A7" s="193" t="str">
        <f>'[3]VARIACAO PATRIMONIAL'!A7</f>
        <v>JUNHO 2020</v>
      </c>
      <c r="B7" s="200">
        <v>213978.27</v>
      </c>
      <c r="C7" s="200">
        <f>'[3]VARIACAO PATRIMONIAL'!C7</f>
        <v>38597.39</v>
      </c>
      <c r="D7" s="200">
        <f>'[3]VARIACAO PATRIMONIAL'!D7</f>
        <v>0</v>
      </c>
      <c r="E7" s="201">
        <f>'[3]VARIACAO PATRIMONIAL'!E7</f>
        <v>1291.2299999999959</v>
      </c>
    </row>
    <row r="8" spans="1:5" ht="20.100000000000001" customHeight="1" x14ac:dyDescent="0.35">
      <c r="A8" s="192" t="str">
        <f>'[3]VARIACAO PATRIMONIAL'!A8</f>
        <v>JULHO 2020</v>
      </c>
      <c r="B8" s="198">
        <v>225811.24</v>
      </c>
      <c r="C8" s="198">
        <f>'[3]VARIACAO PATRIMONIAL'!C8</f>
        <v>32000</v>
      </c>
      <c r="D8" s="198">
        <f>'[3]VARIACAO PATRIMONIAL'!D8</f>
        <v>-21000</v>
      </c>
      <c r="E8" s="199">
        <f>'[3]VARIACAO PATRIMONIAL'!E8</f>
        <v>832.97000000000116</v>
      </c>
    </row>
    <row r="9" spans="1:5" ht="20.100000000000001" customHeight="1" x14ac:dyDescent="0.35">
      <c r="A9" s="193" t="str">
        <f>'[3]VARIACAO PATRIMONIAL'!A9</f>
        <v>AGOSTO 2020</v>
      </c>
      <c r="B9" s="200">
        <v>199283.1</v>
      </c>
      <c r="C9" s="200">
        <f>'[3]VARIACAO PATRIMONIAL'!C9</f>
        <v>50120.270000000004</v>
      </c>
      <c r="D9" s="200">
        <f>'[3]VARIACAO PATRIMONIAL'!D9</f>
        <v>-78120.27</v>
      </c>
      <c r="E9" s="201">
        <f>'[3]VARIACAO PATRIMONIAL'!E9</f>
        <v>1471.8600000000151</v>
      </c>
    </row>
    <row r="10" spans="1:5" ht="20.100000000000001" customHeight="1" x14ac:dyDescent="0.35">
      <c r="A10" s="192" t="str">
        <f>'[3]VARIACAO PATRIMONIAL'!A10</f>
        <v>SETEMBRO 2020</v>
      </c>
      <c r="B10" s="198">
        <v>231847.79</v>
      </c>
      <c r="C10" s="198">
        <f>'[3]VARIACAO PATRIMONIAL'!C10</f>
        <v>63000</v>
      </c>
      <c r="D10" s="198">
        <f>'[3]VARIACAO PATRIMONIAL'!D10</f>
        <v>-30000</v>
      </c>
      <c r="E10" s="199">
        <f>'[3]VARIACAO PATRIMONIAL'!E10</f>
        <v>-435.30999999999767</v>
      </c>
    </row>
    <row r="11" spans="1:5" ht="20.100000000000001" customHeight="1" x14ac:dyDescent="0.35">
      <c r="A11" s="193" t="str">
        <f>'[3]VARIACAO PATRIMONIAL'!A11</f>
        <v>OUTUBRO 2020</v>
      </c>
      <c r="B11" s="200">
        <v>233895.47999999998</v>
      </c>
      <c r="C11" s="200">
        <f>'[3]VARIACAO PATRIMONIAL'!C11</f>
        <v>20723.02</v>
      </c>
      <c r="D11" s="200">
        <f>'[3]VARIACAO PATRIMONIAL'!D11</f>
        <v>-19223.02</v>
      </c>
      <c r="E11" s="201">
        <f>'[3]VARIACAO PATRIMONIAL'!E11</f>
        <v>547.68999999997322</v>
      </c>
    </row>
    <row r="12" spans="1:5" ht="20.100000000000001" customHeight="1" x14ac:dyDescent="0.35">
      <c r="A12" s="192" t="str">
        <f>'[3]VARIACAO PATRIMONIAL'!A12</f>
        <v>NOVEMBRO 2020</v>
      </c>
      <c r="B12" s="198">
        <v>253768.31</v>
      </c>
      <c r="C12" s="198">
        <f>'[3]VARIACAO PATRIMONIAL'!C12</f>
        <v>49265.31</v>
      </c>
      <c r="D12" s="198">
        <f>'[3]VARIACAO PATRIMONIAL'!D12</f>
        <v>-30265.300000000003</v>
      </c>
      <c r="E12" s="199">
        <f>'[3]VARIACAO PATRIMONIAL'!E12</f>
        <v>872.82000000002154</v>
      </c>
    </row>
    <row r="13" spans="1:5" ht="20.100000000000001" customHeight="1" x14ac:dyDescent="0.35">
      <c r="A13" s="193" t="str">
        <f>'[3]VARIACAO PATRIMONIAL'!A13</f>
        <v>DEZEMBRO 2020</v>
      </c>
      <c r="B13" s="200">
        <v>267534.91000000003</v>
      </c>
      <c r="C13" s="200">
        <f>'[3]VARIACAO PATRIMONIAL'!C13</f>
        <v>12500</v>
      </c>
      <c r="D13" s="200">
        <f>'[3]VARIACAO PATRIMONIAL'!D13</f>
        <v>0</v>
      </c>
      <c r="E13" s="201">
        <f>'[3]VARIACAO PATRIMONIAL'!E13</f>
        <v>1266.6000000000349</v>
      </c>
    </row>
    <row r="14" spans="1:5" ht="24.95" customHeight="1" x14ac:dyDescent="0.35">
      <c r="A14" s="202" t="str">
        <f>'[3]VARIACAO PATRIMONIAL'!A14</f>
        <v>TOTAL 2020</v>
      </c>
      <c r="B14" s="209"/>
      <c r="C14" s="210">
        <f xml:space="preserve"> SUBTOTAL(9,C2:C13)</f>
        <v>440205.99000000005</v>
      </c>
      <c r="D14" s="210">
        <f t="shared" ref="D14:E14" si="0" xml:space="preserve"> SUBTOTAL(9,D2:D13)</f>
        <v>-178608.59000000003</v>
      </c>
      <c r="E14" s="210">
        <f t="shared" si="0"/>
        <v>5937.5100000000384</v>
      </c>
    </row>
    <row r="15" spans="1:5" ht="20.100000000000001" customHeight="1" x14ac:dyDescent="0.35">
      <c r="A15" s="193" t="str">
        <f>'[3]VARIACAO PATRIMONIAL'!A15</f>
        <v>JANEIRO 2021</v>
      </c>
      <c r="B15" s="200">
        <v>271663.83999999997</v>
      </c>
      <c r="C15" s="200">
        <f>'[3]VARIACAO PATRIMONIAL'!C15</f>
        <v>4100.99</v>
      </c>
      <c r="D15" s="200">
        <f>'[3]VARIACAO PATRIMONIAL'!D15</f>
        <v>0</v>
      </c>
      <c r="E15" s="201">
        <f>'[3]VARIACAO PATRIMONIAL'!E15</f>
        <v>27.939999999935026</v>
      </c>
    </row>
    <row r="16" spans="1:5" ht="20.100000000000001" customHeight="1" x14ac:dyDescent="0.35">
      <c r="A16" s="192" t="str">
        <f>'[3]VARIACAO PATRIMONIAL'!A16</f>
        <v>FEVEREIRO 2021</v>
      </c>
      <c r="B16" s="198">
        <v>282901.48999999993</v>
      </c>
      <c r="C16" s="198">
        <f>'[3]VARIACAO PATRIMONIAL'!C16</f>
        <v>9000</v>
      </c>
      <c r="D16" s="198">
        <f>'[3]VARIACAO PATRIMONIAL'!D16</f>
        <v>0</v>
      </c>
      <c r="E16" s="199">
        <f>'[3]VARIACAO PATRIMONIAL'!E16</f>
        <v>2237.6499999999651</v>
      </c>
    </row>
    <row r="17" spans="1:6" ht="20.100000000000001" customHeight="1" x14ac:dyDescent="0.35">
      <c r="A17" s="193" t="str">
        <f>'[3]VARIACAO PATRIMONIAL'!A17</f>
        <v>MARÇO 2021</v>
      </c>
      <c r="B17" s="200">
        <v>295957.56999999995</v>
      </c>
      <c r="C17" s="200">
        <f>'[3]VARIACAO PATRIMONIAL'!C17</f>
        <v>5000</v>
      </c>
      <c r="D17" s="200">
        <f>'[3]VARIACAO PATRIMONIAL'!D17</f>
        <v>0</v>
      </c>
      <c r="E17" s="201">
        <f>'[3]VARIACAO PATRIMONIAL'!E17</f>
        <v>8056.0800000000163</v>
      </c>
    </row>
    <row r="18" spans="1:6" ht="20.100000000000001" customHeight="1" x14ac:dyDescent="0.35">
      <c r="A18" s="192" t="str">
        <f>'[3]VARIACAO PATRIMONIAL'!A18</f>
        <v>ABRIL 2021</v>
      </c>
      <c r="B18" s="198">
        <v>298006.07000000007</v>
      </c>
      <c r="C18" s="198">
        <f>'[3]VARIACAO PATRIMONIAL'!C18</f>
        <v>6037.22</v>
      </c>
      <c r="D18" s="198">
        <f>'[3]VARIACAO PATRIMONIAL'!D18</f>
        <v>-515.79</v>
      </c>
      <c r="E18" s="199">
        <f>'[3]VARIACAO PATRIMONIAL'!E18</f>
        <v>-3472.9299999998839</v>
      </c>
    </row>
    <row r="19" spans="1:6" ht="20.100000000000001" customHeight="1" x14ac:dyDescent="0.35">
      <c r="A19" s="193" t="str">
        <f>'[3]VARIACAO PATRIMONIAL'!A19</f>
        <v>MAIO 2021</v>
      </c>
      <c r="B19" s="200">
        <v>301803.71000000008</v>
      </c>
      <c r="C19" s="200">
        <f>'[3]VARIACAO PATRIMONIAL'!C19</f>
        <v>3995.28</v>
      </c>
      <c r="D19" s="200">
        <f>'[3]VARIACAO PATRIMONIAL'!D19</f>
        <v>0</v>
      </c>
      <c r="E19" s="201">
        <f>'[3]VARIACAO PATRIMONIAL'!E19</f>
        <v>-197.63999999998623</v>
      </c>
    </row>
    <row r="20" spans="1:6" ht="20.100000000000001" customHeight="1" x14ac:dyDescent="0.35">
      <c r="A20" s="192" t="str">
        <f>'[3]VARIACAO PATRIMONIAL'!A20</f>
        <v>JUNHO 2021</v>
      </c>
      <c r="B20" s="198">
        <v>321018.95000000007</v>
      </c>
      <c r="C20" s="198">
        <f>'[3]VARIACAO PATRIMONIAL'!C20</f>
        <v>17000</v>
      </c>
      <c r="D20" s="198">
        <f>'[3]VARIACAO PATRIMONIAL'!D20</f>
        <v>-268.54000000000002</v>
      </c>
      <c r="E20" s="199">
        <f>'[3]VARIACAO PATRIMONIAL'!E20</f>
        <v>2483.7799999999916</v>
      </c>
    </row>
    <row r="21" spans="1:6" ht="20.100000000000001" customHeight="1" x14ac:dyDescent="0.35">
      <c r="A21" s="193" t="str">
        <f>'[3]VARIACAO PATRIMONIAL'!A21</f>
        <v>JULHO 2021</v>
      </c>
      <c r="B21" s="200">
        <v>333027.56000000006</v>
      </c>
      <c r="C21" s="200">
        <f>'[3]VARIACAO PATRIMONIAL'!C21</f>
        <v>10000</v>
      </c>
      <c r="D21" s="200">
        <f>'[3]VARIACAO PATRIMONIAL'!D21</f>
        <v>-41.76</v>
      </c>
      <c r="E21" s="201">
        <f>'[3]VARIACAO PATRIMONIAL'!E21</f>
        <v>2050.3699999999862</v>
      </c>
    </row>
    <row r="22" spans="1:6" ht="20.100000000000001" customHeight="1" x14ac:dyDescent="0.35">
      <c r="A22" s="192" t="str">
        <f>'[3]VARIACAO PATRIMONIAL'!A22</f>
        <v>AGOSTO 2021</v>
      </c>
      <c r="B22" s="198">
        <v>352005.97</v>
      </c>
      <c r="C22" s="198">
        <f>'[3]VARIACAO PATRIMONIAL'!C22</f>
        <v>30535.62</v>
      </c>
      <c r="D22" s="198">
        <f>'[3]VARIACAO PATRIMONIAL'!D22</f>
        <v>-24809.809999999998</v>
      </c>
      <c r="E22" s="199">
        <f>'[3]VARIACAO PATRIMONIAL'!E22</f>
        <v>13252.599999999915</v>
      </c>
    </row>
    <row r="23" spans="1:6" ht="20.100000000000001" customHeight="1" x14ac:dyDescent="0.35">
      <c r="A23" s="193" t="str">
        <f>'[3]VARIACAO PATRIMONIAL'!A23</f>
        <v>SETEMBRO 2021</v>
      </c>
      <c r="B23" s="200">
        <v>347212.73</v>
      </c>
      <c r="C23" s="200">
        <f>'[3]VARIACAO PATRIMONIAL'!C23</f>
        <v>17755.13</v>
      </c>
      <c r="D23" s="200">
        <f>'[3]VARIACAO PATRIMONIAL'!D23</f>
        <v>-6017.69</v>
      </c>
      <c r="E23" s="201">
        <f>'[3]VARIACAO PATRIMONIAL'!E23</f>
        <v>-16530.679999999993</v>
      </c>
    </row>
    <row r="24" spans="1:6" ht="20.100000000000001" customHeight="1" x14ac:dyDescent="0.35">
      <c r="A24" s="192" t="str">
        <f>'[3]VARIACAO PATRIMONIAL'!A24</f>
        <v>OUTUBRO 2021</v>
      </c>
      <c r="B24" s="198">
        <v>357318.89999999997</v>
      </c>
      <c r="C24" s="198">
        <f>'[3]VARIACAO PATRIMONIAL'!C24</f>
        <v>21526.55</v>
      </c>
      <c r="D24" s="198">
        <f>'[3]VARIACAO PATRIMONIAL'!D24</f>
        <v>-11505.470000000001</v>
      </c>
      <c r="E24" s="199">
        <f>'[3]VARIACAO PATRIMONIAL'!E24</f>
        <v>85.089999999985594</v>
      </c>
    </row>
    <row r="25" spans="1:6" ht="20.100000000000001" customHeight="1" x14ac:dyDescent="0.35">
      <c r="A25" s="193" t="str">
        <f>'[3]VARIACAO PATRIMONIAL'!A25</f>
        <v>NOVEMBRO 2021</v>
      </c>
      <c r="B25" s="200">
        <v>372830.1</v>
      </c>
      <c r="C25" s="200">
        <f>'[3]VARIACAO PATRIMONIAL'!C25</f>
        <v>17010.830000000002</v>
      </c>
      <c r="D25" s="200">
        <f>'[3]VARIACAO PATRIMONIAL'!D25</f>
        <v>-287.01</v>
      </c>
      <c r="E25" s="201">
        <f>'[3]VARIACAO PATRIMONIAL'!E25</f>
        <v>-1212.6199999999917</v>
      </c>
    </row>
    <row r="26" spans="1:6" ht="20.100000000000001" customHeight="1" x14ac:dyDescent="0.35">
      <c r="A26" s="192" t="str">
        <f>'[3]VARIACAO PATRIMONIAL'!A26</f>
        <v>DEZEMBRO 2021</v>
      </c>
      <c r="B26" s="198">
        <v>378810.15000000008</v>
      </c>
      <c r="C26" s="198">
        <f>'[3]VARIACAO PATRIMONIAL'!C26</f>
        <v>11021.12</v>
      </c>
      <c r="D26" s="198">
        <f>'[3]VARIACAO PATRIMONIAL'!D26</f>
        <v>-10794.14</v>
      </c>
      <c r="E26" s="199">
        <f>'[3]VARIACAO PATRIMONIAL'!E26</f>
        <v>5753.0700000001034</v>
      </c>
    </row>
    <row r="27" spans="1:6" ht="24.95" customHeight="1" x14ac:dyDescent="0.35">
      <c r="A27" s="202" t="str">
        <f>'[3]VARIACAO PATRIMONIAL'!A27</f>
        <v>TOTAL 2021</v>
      </c>
      <c r="B27" s="203"/>
      <c r="C27" s="210">
        <f xml:space="preserve"> SUBTOTAL(9,C15:C26)</f>
        <v>152982.74</v>
      </c>
      <c r="D27" s="210">
        <f t="shared" ref="D27" si="1" xml:space="preserve"> SUBTOTAL(9,D15:D26)</f>
        <v>-54240.21</v>
      </c>
      <c r="E27" s="210">
        <f t="shared" ref="E27" si="2" xml:space="preserve"> SUBTOTAL(9,E15:E26)</f>
        <v>12532.710000000045</v>
      </c>
    </row>
    <row r="28" spans="1:6" ht="20.100000000000001" customHeight="1" x14ac:dyDescent="0.4">
      <c r="A28" s="204" t="s">
        <v>246</v>
      </c>
      <c r="B28" s="190">
        <v>386122.90000000014</v>
      </c>
      <c r="C28" s="190">
        <f>'[2]VARIACAO PATRIMONIAL'!C28</f>
        <v>20721.25</v>
      </c>
      <c r="D28" s="190">
        <f>'[2]VARIACAO PATRIMONIAL'!D28</f>
        <v>-11450.720000000001</v>
      </c>
      <c r="E28" s="191">
        <f xml:space="preserve"> (B28 -B26) - (C28 - ABS(D28))</f>
        <v>-1957.7799999999406</v>
      </c>
      <c r="F28" t="s">
        <v>85</v>
      </c>
    </row>
    <row r="29" spans="1:6" ht="20.100000000000001" customHeight="1" x14ac:dyDescent="0.4">
      <c r="A29" s="205" t="s">
        <v>247</v>
      </c>
      <c r="B29" s="188">
        <v>351838.92</v>
      </c>
      <c r="C29" s="188">
        <f>'[2]VARIACAO PATRIMONIAL'!C29</f>
        <v>10433.970000000001</v>
      </c>
      <c r="D29" s="188">
        <f>'[2]VARIACAO PATRIMONIAL'!D29</f>
        <v>-304.95</v>
      </c>
      <c r="E29" s="189">
        <f t="shared" ref="E29:E38" si="3" xml:space="preserve"> (B29 - B28) - (C29 - ABS(D29))</f>
        <v>-44413.00000000016</v>
      </c>
    </row>
    <row r="30" spans="1:6" ht="20.100000000000001" customHeight="1" x14ac:dyDescent="0.4">
      <c r="A30" s="204" t="s">
        <v>248</v>
      </c>
      <c r="B30" s="190">
        <v>499327.07000000012</v>
      </c>
      <c r="C30" s="190">
        <f>'[2]VARIACAO PATRIMONIAL'!C30</f>
        <v>240813.59999999998</v>
      </c>
      <c r="D30" s="190">
        <f>'[2]VARIACAO PATRIMONIAL'!D30</f>
        <v>-115170.69</v>
      </c>
      <c r="E30" s="191">
        <f t="shared" si="3"/>
        <v>21845.240000000165</v>
      </c>
    </row>
    <row r="31" spans="1:6" ht="20.100000000000001" customHeight="1" x14ac:dyDescent="0.4">
      <c r="A31" s="205" t="s">
        <v>249</v>
      </c>
      <c r="B31" s="188">
        <v>509896.07000000007</v>
      </c>
      <c r="C31" s="188">
        <f>'[2]VARIACAO PATRIMONIAL'!C31</f>
        <v>21669.78</v>
      </c>
      <c r="D31" s="188">
        <f>'[2]VARIACAO PATRIMONIAL'!D31</f>
        <v>-12396.970000000001</v>
      </c>
      <c r="E31" s="189">
        <f t="shared" si="3"/>
        <v>1296.1899999999441</v>
      </c>
    </row>
    <row r="32" spans="1:6" ht="20.100000000000001" customHeight="1" x14ac:dyDescent="0.4">
      <c r="A32" s="204" t="s">
        <v>250</v>
      </c>
      <c r="B32" s="190">
        <v>528746.57000000007</v>
      </c>
      <c r="C32" s="190">
        <f>'[2]VARIACAO PATRIMONIAL'!C32</f>
        <v>62816.15</v>
      </c>
      <c r="D32" s="190">
        <f>'[2]VARIACAO PATRIMONIAL'!D32</f>
        <v>-68370.310000000012</v>
      </c>
      <c r="E32" s="191">
        <f t="shared" si="3"/>
        <v>24404.660000000011</v>
      </c>
      <c r="F32" t="s">
        <v>85</v>
      </c>
    </row>
    <row r="33" spans="1:6" ht="20.100000000000001" customHeight="1" x14ac:dyDescent="0.4">
      <c r="A33" s="205" t="s">
        <v>251</v>
      </c>
      <c r="B33" s="188">
        <v>532370.13</v>
      </c>
      <c r="C33" s="188">
        <f>'[2]VARIACAO PATRIMONIAL'!C33</f>
        <v>6000</v>
      </c>
      <c r="D33" s="188">
        <f>'[2]VARIACAO PATRIMONIAL'!D33</f>
        <v>-379.51</v>
      </c>
      <c r="E33" s="189">
        <f t="shared" si="3"/>
        <v>-1996.9300000000603</v>
      </c>
      <c r="F33" t="s">
        <v>85</v>
      </c>
    </row>
    <row r="34" spans="1:6" ht="20.100000000000001" customHeight="1" x14ac:dyDescent="0.4">
      <c r="A34" s="204" t="s">
        <v>252</v>
      </c>
      <c r="B34" s="190">
        <v>524380.83000000007</v>
      </c>
      <c r="C34" s="190">
        <f>'[2]VARIACAO PATRIMONIAL'!C34</f>
        <v>17.3</v>
      </c>
      <c r="D34" s="190">
        <f>'[2]VARIACAO PATRIMONIAL'!D34</f>
        <v>-12777.01</v>
      </c>
      <c r="E34" s="191">
        <f t="shared" si="3"/>
        <v>4770.4100000000708</v>
      </c>
      <c r="F34" t="s">
        <v>85</v>
      </c>
    </row>
    <row r="35" spans="1:6" ht="20.100000000000001" customHeight="1" x14ac:dyDescent="0.4">
      <c r="A35" s="205" t="s">
        <v>253</v>
      </c>
      <c r="B35" s="188">
        <v>501196.17000000022</v>
      </c>
      <c r="C35" s="188">
        <f>'[2]VARIACAO PATRIMONIAL'!C35</f>
        <v>0.83000000000000007</v>
      </c>
      <c r="D35" s="188">
        <f>'[2]VARIACAO PATRIMONIAL'!D35</f>
        <v>-27045.13</v>
      </c>
      <c r="E35" s="189">
        <f t="shared" si="3"/>
        <v>3859.6400000001413</v>
      </c>
      <c r="F35" t="s">
        <v>85</v>
      </c>
    </row>
    <row r="36" spans="1:6" ht="20.100000000000001" customHeight="1" x14ac:dyDescent="0.4">
      <c r="A36" s="204" t="s">
        <v>254</v>
      </c>
      <c r="B36" s="190">
        <v>477469.86999999988</v>
      </c>
      <c r="C36" s="190">
        <f>'[2]VARIACAO PATRIMONIAL'!C36</f>
        <v>1.94</v>
      </c>
      <c r="D36" s="190">
        <f>'[2]VARIACAO PATRIMONIAL'!D36</f>
        <v>-25495.279999999999</v>
      </c>
      <c r="E36" s="191">
        <f t="shared" si="3"/>
        <v>1767.0399999996625</v>
      </c>
      <c r="F36" t="s">
        <v>85</v>
      </c>
    </row>
    <row r="37" spans="1:6" ht="20.100000000000001" customHeight="1" x14ac:dyDescent="0.4">
      <c r="A37" s="205" t="s">
        <v>255</v>
      </c>
      <c r="B37" s="188">
        <v>470843.96000000008</v>
      </c>
      <c r="C37" s="188">
        <f>'[2]VARIACAO PATRIMONIAL'!C37</f>
        <v>9953.2000000000007</v>
      </c>
      <c r="D37" s="188">
        <f>'[2]VARIACAO PATRIMONIAL'!D37</f>
        <v>-21011.030000000002</v>
      </c>
      <c r="E37" s="189">
        <f t="shared" si="3"/>
        <v>4431.920000000202</v>
      </c>
      <c r="F37" t="s">
        <v>85</v>
      </c>
    </row>
    <row r="38" spans="1:6" ht="20.100000000000001" customHeight="1" x14ac:dyDescent="0.4">
      <c r="A38" s="204" t="s">
        <v>256</v>
      </c>
      <c r="B38" s="190">
        <v>488588.59</v>
      </c>
      <c r="C38" s="190">
        <f>'[2]VARIACAO PATRIMONIAL'!C38</f>
        <v>36737.93</v>
      </c>
      <c r="D38" s="190">
        <f>'[2]VARIACAO PATRIMONIAL'!D38</f>
        <v>-18255.830000000002</v>
      </c>
      <c r="E38" s="191">
        <f t="shared" si="3"/>
        <v>-737.4700000000521</v>
      </c>
      <c r="F38" t="s">
        <v>85</v>
      </c>
    </row>
    <row r="39" spans="1:6" ht="20.100000000000001" customHeight="1" x14ac:dyDescent="0.4">
      <c r="A39" s="205" t="s">
        <v>257</v>
      </c>
      <c r="B39" s="188">
        <v>489202.41999999993</v>
      </c>
      <c r="C39" s="188">
        <f>'[2]VARIACAO PATRIMONIAL'!C39</f>
        <v>9636.1299999999992</v>
      </c>
      <c r="D39" s="188">
        <f>'[2]VARIACAO PATRIMONIAL'!D39</f>
        <v>-12910.45</v>
      </c>
      <c r="E39" s="189">
        <f xml:space="preserve"> (B39 - B38) - (C39 - ABS(D39))</f>
        <v>3888.1499999999014</v>
      </c>
      <c r="F39" t="s">
        <v>85</v>
      </c>
    </row>
    <row r="40" spans="1:6" ht="24.95" customHeight="1" x14ac:dyDescent="0.35">
      <c r="A40" s="202" t="s">
        <v>258</v>
      </c>
      <c r="B40" s="203"/>
      <c r="C40" s="210">
        <f xml:space="preserve"> SUBTOTAL(9,C28:C39)</f>
        <v>418802.08</v>
      </c>
      <c r="D40" s="210">
        <f t="shared" ref="D40" si="4" xml:space="preserve"> SUBTOTAL(9,D28:D39)</f>
        <v>-325567.88000000012</v>
      </c>
      <c r="E40" s="210">
        <f t="shared" ref="E40" si="5" xml:space="preserve"> SUBTOTAL(9,E28:E39)</f>
        <v>17158.069999999883</v>
      </c>
    </row>
    <row r="41" spans="1:6" ht="20.100000000000001" customHeight="1" x14ac:dyDescent="0.4">
      <c r="A41" s="204" t="s">
        <v>264</v>
      </c>
      <c r="B41" s="190">
        <v>489545.33999999997</v>
      </c>
      <c r="C41" s="190">
        <v>8139.89</v>
      </c>
      <c r="D41" s="190">
        <v>-8186.0199999999995</v>
      </c>
      <c r="E41" s="191">
        <f xml:space="preserve"> (B41 -B39) - (C41 - ABS(D41))</f>
        <v>389.05000000004111</v>
      </c>
      <c r="F41" s="320" t="s">
        <v>146</v>
      </c>
    </row>
    <row r="42" spans="1:6" ht="20.100000000000001" customHeight="1" x14ac:dyDescent="0.4">
      <c r="A42" s="205" t="s">
        <v>265</v>
      </c>
      <c r="B42" s="188">
        <v>477312.71</v>
      </c>
      <c r="C42" s="188">
        <v>18220.669999999998</v>
      </c>
      <c r="D42" s="188">
        <v>-21128.32</v>
      </c>
      <c r="E42" s="189">
        <f t="shared" ref="E42:E50" si="6" xml:space="preserve"> (B42 - B41) - (C42 - ABS(D42))</f>
        <v>-9324.979999999945</v>
      </c>
      <c r="F42" s="320" t="s">
        <v>146</v>
      </c>
    </row>
    <row r="43" spans="1:6" ht="20.100000000000001" customHeight="1" x14ac:dyDescent="0.4">
      <c r="A43" s="204" t="s">
        <v>266</v>
      </c>
      <c r="B43" s="190">
        <v>456109.50000000006</v>
      </c>
      <c r="C43" s="190">
        <v>131641.47999999998</v>
      </c>
      <c r="D43" s="190">
        <v>-150983.79999999999</v>
      </c>
      <c r="E43" s="191">
        <f t="shared" si="6"/>
        <v>-1860.8899999999558</v>
      </c>
      <c r="F43" s="320" t="s">
        <v>146</v>
      </c>
    </row>
    <row r="44" spans="1:6" ht="20.100000000000001" customHeight="1" x14ac:dyDescent="0.4">
      <c r="A44" s="205" t="s">
        <v>267</v>
      </c>
      <c r="B44" s="188">
        <f>'VALORES MENSAIS'!$M$42</f>
        <v>0</v>
      </c>
      <c r="C44" s="188">
        <v>17600.57</v>
      </c>
      <c r="D44" s="188">
        <v>-24206.58</v>
      </c>
      <c r="E44" s="189">
        <f t="shared" si="6"/>
        <v>-449503.49000000005</v>
      </c>
      <c r="F44" t="s">
        <v>304</v>
      </c>
    </row>
    <row r="45" spans="1:6" ht="20.100000000000001" customHeight="1" x14ac:dyDescent="0.4">
      <c r="A45" s="204" t="s">
        <v>268</v>
      </c>
      <c r="B45" s="190">
        <v>450926.31</v>
      </c>
      <c r="C45" s="190">
        <v>11770.61</v>
      </c>
      <c r="D45" s="190">
        <v>-16253.310000000001</v>
      </c>
      <c r="E45" s="191">
        <f t="shared" si="6"/>
        <v>455409.01</v>
      </c>
      <c r="F45" s="320" t="s">
        <v>146</v>
      </c>
    </row>
    <row r="46" spans="1:6" ht="20.100000000000001" customHeight="1" x14ac:dyDescent="0.4">
      <c r="A46" s="205" t="s">
        <v>269</v>
      </c>
      <c r="B46" s="188">
        <v>449970.04</v>
      </c>
      <c r="C46" s="188">
        <v>18661.95</v>
      </c>
      <c r="D46" s="188">
        <v>-24291.57</v>
      </c>
      <c r="E46" s="189">
        <f t="shared" si="6"/>
        <v>4673.3499999999804</v>
      </c>
      <c r="F46" s="320" t="s">
        <v>146</v>
      </c>
    </row>
    <row r="47" spans="1:6" ht="20.100000000000001" customHeight="1" x14ac:dyDescent="0.4">
      <c r="A47" s="204" t="s">
        <v>270</v>
      </c>
      <c r="B47" s="190">
        <v>456845.33999999997</v>
      </c>
      <c r="C47" s="190">
        <v>16726.43</v>
      </c>
      <c r="D47" s="190">
        <v>-15269.42</v>
      </c>
      <c r="E47" s="191">
        <f t="shared" si="6"/>
        <v>5418.2899999999881</v>
      </c>
      <c r="F47" s="320" t="s">
        <v>146</v>
      </c>
    </row>
    <row r="48" spans="1:6" ht="20.100000000000001" customHeight="1" x14ac:dyDescent="0.4">
      <c r="A48" s="205" t="s">
        <v>271</v>
      </c>
      <c r="B48" s="188">
        <v>447895.35</v>
      </c>
      <c r="C48" s="188">
        <v>38332.65</v>
      </c>
      <c r="D48" s="188">
        <v>-46061.659999999996</v>
      </c>
      <c r="E48" s="189">
        <f t="shared" si="6"/>
        <v>-1220.9799999999959</v>
      </c>
      <c r="F48" s="320" t="s">
        <v>146</v>
      </c>
    </row>
    <row r="49" spans="1:8" ht="20.100000000000001" customHeight="1" x14ac:dyDescent="0.4">
      <c r="A49" s="204" t="s">
        <v>272</v>
      </c>
      <c r="B49" s="190">
        <f>'VALORES MENSAIS'!$W$42</f>
        <v>0</v>
      </c>
      <c r="C49" s="190">
        <v>21352.91</v>
      </c>
      <c r="D49" s="190">
        <v>-44219.68</v>
      </c>
      <c r="E49" s="191">
        <f t="shared" si="6"/>
        <v>-425028.57999999996</v>
      </c>
      <c r="F49" t="s">
        <v>304</v>
      </c>
      <c r="H49" s="250"/>
    </row>
    <row r="50" spans="1:8" ht="20.100000000000001" customHeight="1" x14ac:dyDescent="0.4">
      <c r="A50" s="205" t="s">
        <v>273</v>
      </c>
      <c r="B50" s="188">
        <v>427406.17</v>
      </c>
      <c r="C50" s="188">
        <v>29681.18</v>
      </c>
      <c r="D50" s="188">
        <v>30670.28</v>
      </c>
      <c r="E50" s="189">
        <f t="shared" si="6"/>
        <v>428395.26999999996</v>
      </c>
      <c r="F50" s="320" t="s">
        <v>146</v>
      </c>
    </row>
    <row r="51" spans="1:8" ht="20.100000000000001" customHeight="1" x14ac:dyDescent="0.4">
      <c r="A51" s="204" t="s">
        <v>274</v>
      </c>
      <c r="B51" s="190">
        <v>407327.02</v>
      </c>
      <c r="C51" s="190">
        <v>7639.11</v>
      </c>
      <c r="D51" s="190">
        <v>-31571.99</v>
      </c>
      <c r="E51" s="191">
        <f ca="1">IF(TODAY() &lt; DATE(2023,11,30), 0, (B51 - B50) - (C51 - ABS(D51)))</f>
        <v>3853.7300000000359</v>
      </c>
      <c r="F51" s="320" t="s">
        <v>146</v>
      </c>
      <c r="H51" s="250"/>
    </row>
    <row r="52" spans="1:8" ht="20.100000000000001" customHeight="1" x14ac:dyDescent="0.4">
      <c r="A52" s="205" t="s">
        <v>275</v>
      </c>
      <c r="B52" s="188">
        <v>400355.36</v>
      </c>
      <c r="C52" s="188">
        <v>10556.17</v>
      </c>
      <c r="D52" s="188">
        <v>-20558.28</v>
      </c>
      <c r="E52" s="189">
        <f ca="1">IF(TODAY() &lt; DATE(2023,12,31), 0, (B52 - B51) - (C52 - ABS(D52)))</f>
        <v>3030.4499999999662</v>
      </c>
      <c r="F52" s="320" t="s">
        <v>146</v>
      </c>
    </row>
    <row r="53" spans="1:8" ht="24.95" customHeight="1" x14ac:dyDescent="0.6">
      <c r="A53" s="202" t="s">
        <v>279</v>
      </c>
      <c r="B53" s="203"/>
      <c r="C53" s="210">
        <f xml:space="preserve"> SUBTOTAL(9,C41:C52)</f>
        <v>330323.61999999994</v>
      </c>
      <c r="D53" s="210">
        <f t="shared" ref="D53:E53" si="7" xml:space="preserve"> SUBTOTAL(9,D41:D52)</f>
        <v>-372060.35</v>
      </c>
      <c r="E53" s="210">
        <f t="shared" ca="1" si="7"/>
        <v>14230.230000000107</v>
      </c>
      <c r="F53" s="318"/>
      <c r="H53" s="250"/>
    </row>
    <row r="55" spans="1:8" ht="24.95" customHeight="1" x14ac:dyDescent="0.35">
      <c r="A55" s="206" t="s">
        <v>259</v>
      </c>
      <c r="B55" s="207"/>
      <c r="C55" s="208">
        <f xml:space="preserve"> SUBTOTAL(9, C2:C54)</f>
        <v>1342314.43</v>
      </c>
      <c r="D55" s="208">
        <f t="shared" ref="D55:E55" si="8" xml:space="preserve"> SUBTOTAL(9, D2:D54)</f>
        <v>-930477.02999999991</v>
      </c>
      <c r="E55" s="208">
        <f t="shared" ca="1" si="8"/>
        <v>49858.520000000033</v>
      </c>
    </row>
    <row r="57" spans="1:8" ht="40.049999999999997" customHeight="1" x14ac:dyDescent="0.35">
      <c r="A57" s="206" t="s">
        <v>295</v>
      </c>
      <c r="B57" s="208">
        <f>AVERAGE(B2:B56)</f>
        <v>332009.21729166672</v>
      </c>
    </row>
    <row r="58" spans="1:8" ht="30" x14ac:dyDescent="0.35">
      <c r="A58" s="206" t="s">
        <v>296</v>
      </c>
      <c r="B58" s="266">
        <f ca="1">E55/B57</f>
        <v>0.15017209584335073</v>
      </c>
    </row>
    <row r="59" spans="1:8" ht="30" x14ac:dyDescent="0.35">
      <c r="A59" s="265" t="s">
        <v>297</v>
      </c>
      <c r="B59" s="266">
        <f ca="1">B58 / ((TODAY()-DATE(2020,5,14)) / 365)</f>
        <v>4.0038579242383507E-2</v>
      </c>
    </row>
    <row r="60" spans="1:8" ht="30" x14ac:dyDescent="0.35">
      <c r="A60" s="265" t="s">
        <v>298</v>
      </c>
      <c r="B60" s="266">
        <f ca="1">B58 / ((TODAY()-DATE(2020,5,14)) / 30.42)</f>
        <v>3.3369139193241268E-3</v>
      </c>
    </row>
    <row r="63" spans="1:8" ht="15" customHeight="1" x14ac:dyDescent="0.35">
      <c r="A63" s="35" t="s">
        <v>69</v>
      </c>
      <c r="B63" s="36"/>
    </row>
    <row r="64" spans="1:8" x14ac:dyDescent="0.35">
      <c r="A64" s="36" t="s">
        <v>70</v>
      </c>
      <c r="B64" s="36"/>
    </row>
    <row r="65" spans="1:2" x14ac:dyDescent="0.35">
      <c r="A65" s="36" t="s">
        <v>71</v>
      </c>
      <c r="B65" s="36"/>
    </row>
  </sheetData>
  <phoneticPr fontId="2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DB3C3-530E-43F9-AE64-331C285F8A4D}">
  <sheetPr codeName="Feuil15">
    <tabColor theme="4" tint="0.59999389629810485"/>
  </sheetPr>
  <dimension ref="A1:F59"/>
  <sheetViews>
    <sheetView zoomScale="170" zoomScaleNormal="170" workbookViewId="0">
      <pane xSplit="2" ySplit="1" topLeftCell="C9" activePane="bottomRight" state="frozen"/>
      <selection pane="topRight" activeCell="D1" sqref="D1"/>
      <selection pane="bottomLeft" activeCell="A4" sqref="A4"/>
      <selection pane="bottomRight" activeCell="G9" sqref="G9"/>
    </sheetView>
  </sheetViews>
  <sheetFormatPr baseColWidth="10" defaultColWidth="11.3828125" defaultRowHeight="11.65" x14ac:dyDescent="0.35"/>
  <cols>
    <col min="1" max="1" width="27.3828125" customWidth="1"/>
    <col min="2" max="2" width="18.3828125" customWidth="1"/>
    <col min="3" max="3" width="20" customWidth="1"/>
    <col min="4" max="4" width="20" bestFit="1" customWidth="1"/>
    <col min="5" max="5" width="19.69140625" customWidth="1"/>
    <col min="6" max="6" width="19" customWidth="1"/>
    <col min="7" max="7" width="21.3828125" customWidth="1"/>
    <col min="8" max="8" width="18.3046875" customWidth="1"/>
    <col min="9" max="9" width="16.84375" bestFit="1" customWidth="1"/>
    <col min="10" max="10" width="13" customWidth="1"/>
    <col min="11" max="11" width="19.3046875" customWidth="1"/>
    <col min="12" max="12" width="19.15234375" customWidth="1"/>
    <col min="13" max="13" width="20.3046875" bestFit="1" customWidth="1"/>
    <col min="14" max="14" width="22.3046875" bestFit="1" customWidth="1"/>
    <col min="15" max="15" width="23.15234375" customWidth="1"/>
    <col min="16" max="16" width="25.69140625" customWidth="1"/>
    <col min="17" max="17" width="26.3828125" customWidth="1"/>
    <col min="18" max="18" width="22.69140625" customWidth="1"/>
    <col min="19" max="19" width="24.3828125" customWidth="1"/>
    <col min="20" max="20" width="23.3046875" customWidth="1"/>
    <col min="21" max="21" width="23.84375" bestFit="1" customWidth="1"/>
  </cols>
  <sheetData>
    <row r="1" spans="1:5" ht="30" customHeight="1" thickTop="1" x14ac:dyDescent="0.35">
      <c r="A1" s="185" t="s">
        <v>140</v>
      </c>
      <c r="B1" s="186" t="s">
        <v>290</v>
      </c>
      <c r="C1" s="186" t="s">
        <v>204</v>
      </c>
      <c r="D1" s="186" t="s">
        <v>205</v>
      </c>
      <c r="E1" s="187" t="s">
        <v>288</v>
      </c>
    </row>
    <row r="2" spans="1:5" ht="20" customHeight="1" x14ac:dyDescent="0.35">
      <c r="A2" s="192" t="s">
        <v>264</v>
      </c>
      <c r="B2" s="198">
        <v>0</v>
      </c>
      <c r="C2" s="198">
        <v>0</v>
      </c>
      <c r="D2" s="198">
        <v>0</v>
      </c>
      <c r="E2" s="199">
        <v>0</v>
      </c>
    </row>
    <row r="3" spans="1:5" ht="20" customHeight="1" x14ac:dyDescent="0.35">
      <c r="A3" s="193" t="s">
        <v>265</v>
      </c>
      <c r="B3" s="200">
        <v>0</v>
      </c>
      <c r="C3" s="200">
        <v>0</v>
      </c>
      <c r="D3" s="200">
        <v>0</v>
      </c>
      <c r="E3" s="201">
        <v>0</v>
      </c>
    </row>
    <row r="4" spans="1:5" ht="20" customHeight="1" x14ac:dyDescent="0.35">
      <c r="A4" s="192" t="s">
        <v>266</v>
      </c>
      <c r="B4" s="198">
        <v>31453.5</v>
      </c>
      <c r="C4" s="198">
        <v>58470.99</v>
      </c>
      <c r="D4" s="198">
        <v>-27100</v>
      </c>
      <c r="E4" s="199">
        <f t="shared" ref="E4:E13" si="0" xml:space="preserve"> (B4 - B3) - (C4 - ABS(D4))</f>
        <v>82.510000000002037</v>
      </c>
    </row>
    <row r="5" spans="1:5" ht="20" customHeight="1" x14ac:dyDescent="0.35">
      <c r="A5" s="193" t="s">
        <v>267</v>
      </c>
      <c r="B5" s="200">
        <v>35790.339999999997</v>
      </c>
      <c r="C5" s="200">
        <v>17600</v>
      </c>
      <c r="D5" s="200">
        <v>-13500</v>
      </c>
      <c r="E5" s="201">
        <f t="shared" si="0"/>
        <v>236.83999999999651</v>
      </c>
    </row>
    <row r="6" spans="1:5" ht="20" customHeight="1" x14ac:dyDescent="0.35">
      <c r="A6" s="192" t="s">
        <v>268</v>
      </c>
      <c r="B6" s="198">
        <v>43529.38</v>
      </c>
      <c r="C6" s="198">
        <v>11770.61</v>
      </c>
      <c r="D6" s="198">
        <v>-4420</v>
      </c>
      <c r="E6" s="199">
        <f t="shared" si="0"/>
        <v>388.43000000000029</v>
      </c>
    </row>
    <row r="7" spans="1:5" ht="20" customHeight="1" x14ac:dyDescent="0.35">
      <c r="A7" s="193" t="s">
        <v>269</v>
      </c>
      <c r="B7" s="200">
        <v>49366.48</v>
      </c>
      <c r="C7" s="200">
        <v>18571.810000000001</v>
      </c>
      <c r="D7" s="200">
        <v>-13120</v>
      </c>
      <c r="E7" s="201">
        <f t="shared" si="0"/>
        <v>385.29000000000451</v>
      </c>
    </row>
    <row r="8" spans="1:5" ht="20" customHeight="1" x14ac:dyDescent="0.35">
      <c r="A8" s="192" t="s">
        <v>270</v>
      </c>
      <c r="B8" s="198">
        <v>51779.56</v>
      </c>
      <c r="C8" s="198">
        <v>16724.73</v>
      </c>
      <c r="D8" s="198">
        <v>-14850</v>
      </c>
      <c r="E8" s="199">
        <f t="shared" si="0"/>
        <v>538.34999999999491</v>
      </c>
    </row>
    <row r="9" spans="1:5" ht="20" customHeight="1" x14ac:dyDescent="0.35">
      <c r="A9" s="193" t="s">
        <v>271</v>
      </c>
      <c r="B9" s="200">
        <v>72904.05</v>
      </c>
      <c r="C9" s="200">
        <v>38188.35</v>
      </c>
      <c r="D9" s="200">
        <v>-17600</v>
      </c>
      <c r="E9" s="201">
        <f t="shared" si="0"/>
        <v>536.14000000000669</v>
      </c>
    </row>
    <row r="10" spans="1:5" ht="20" customHeight="1" x14ac:dyDescent="0.35">
      <c r="A10" s="192" t="s">
        <v>272</v>
      </c>
      <c r="B10" s="198">
        <v>78229.97</v>
      </c>
      <c r="C10" s="198">
        <v>21334.43</v>
      </c>
      <c r="D10" s="198">
        <v>-16700</v>
      </c>
      <c r="E10" s="199">
        <f t="shared" si="0"/>
        <v>691.48999999999796</v>
      </c>
    </row>
    <row r="11" spans="1:5" ht="20" customHeight="1" x14ac:dyDescent="0.35">
      <c r="A11" s="193" t="s">
        <v>273</v>
      </c>
      <c r="B11" s="200">
        <v>68270.429999999993</v>
      </c>
      <c r="C11" s="200">
        <v>19681.18</v>
      </c>
      <c r="D11" s="200">
        <v>-30350</v>
      </c>
      <c r="E11" s="201">
        <f t="shared" si="0"/>
        <v>709.27999999999156</v>
      </c>
    </row>
    <row r="12" spans="1:5" ht="20" customHeight="1" x14ac:dyDescent="0.35">
      <c r="A12" s="192" t="s">
        <v>274</v>
      </c>
      <c r="B12" s="198">
        <v>45110.48</v>
      </c>
      <c r="C12" s="198">
        <v>7639.11</v>
      </c>
      <c r="D12" s="198">
        <v>-31400</v>
      </c>
      <c r="E12" s="199">
        <f t="shared" si="0"/>
        <v>600.9400000000096</v>
      </c>
    </row>
    <row r="13" spans="1:5" ht="20" customHeight="1" thickBot="1" x14ac:dyDescent="0.4">
      <c r="A13" s="269" t="s">
        <v>275</v>
      </c>
      <c r="B13" s="270">
        <v>35697.769999999997</v>
      </c>
      <c r="C13" s="270">
        <v>10556</v>
      </c>
      <c r="D13" s="270">
        <v>-20200</v>
      </c>
      <c r="E13" s="271">
        <f t="shared" si="0"/>
        <v>231.2899999999936</v>
      </c>
    </row>
    <row r="14" spans="1:5" ht="24.95" customHeight="1" thickTop="1" x14ac:dyDescent="0.35">
      <c r="A14" s="267" t="s">
        <v>279</v>
      </c>
      <c r="B14" s="268">
        <f>AVERAGE(B2:B13)</f>
        <v>42677.663333333338</v>
      </c>
      <c r="C14" s="268">
        <f xml:space="preserve"> SUBTOTAL(9,C2:C13)</f>
        <v>220537.20999999996</v>
      </c>
      <c r="D14" s="268">
        <f t="shared" ref="D14:E14" si="1" xml:space="preserve"> SUBTOTAL(9,D2:D13)</f>
        <v>-189240</v>
      </c>
      <c r="E14" s="268">
        <f t="shared" si="1"/>
        <v>4400.5599999999977</v>
      </c>
    </row>
    <row r="15" spans="1:5" ht="20.100000000000001" customHeight="1" x14ac:dyDescent="0.35">
      <c r="A15" s="193" t="str">
        <f>'[3]VARIACAO PATRIMONIAL'!A15</f>
        <v>JANEIRO 2021</v>
      </c>
      <c r="B15" s="196"/>
      <c r="C15" s="196"/>
      <c r="D15" s="196"/>
      <c r="E15" s="197"/>
    </row>
    <row r="16" spans="1:5" ht="20.100000000000001" customHeight="1" x14ac:dyDescent="0.35">
      <c r="A16" s="192" t="str">
        <f>'[3]VARIACAO PATRIMONIAL'!A16</f>
        <v>FEVEREIRO 2021</v>
      </c>
      <c r="B16" s="194"/>
      <c r="C16" s="194"/>
      <c r="D16" s="194"/>
      <c r="E16" s="195"/>
    </row>
    <row r="17" spans="1:6" ht="20.100000000000001" customHeight="1" x14ac:dyDescent="0.35">
      <c r="A17" s="193" t="str">
        <f>'[3]VARIACAO PATRIMONIAL'!A17</f>
        <v>MARÇO 2021</v>
      </c>
      <c r="B17" s="196"/>
      <c r="C17" s="196"/>
      <c r="D17" s="196"/>
      <c r="E17" s="197"/>
    </row>
    <row r="18" spans="1:6" ht="20.100000000000001" customHeight="1" x14ac:dyDescent="0.35">
      <c r="A18" s="192" t="str">
        <f>'[3]VARIACAO PATRIMONIAL'!A18</f>
        <v>ABRIL 2021</v>
      </c>
      <c r="B18" s="194"/>
      <c r="C18" s="194"/>
      <c r="D18" s="194"/>
      <c r="E18" s="195"/>
    </row>
    <row r="19" spans="1:6" ht="20.100000000000001" customHeight="1" x14ac:dyDescent="0.35">
      <c r="A19" s="193" t="str">
        <f>'[3]VARIACAO PATRIMONIAL'!A19</f>
        <v>MAIO 2021</v>
      </c>
      <c r="B19" s="196"/>
      <c r="C19" s="196"/>
      <c r="D19" s="196"/>
      <c r="E19" s="197"/>
    </row>
    <row r="20" spans="1:6" ht="20.100000000000001" customHeight="1" x14ac:dyDescent="0.35">
      <c r="A20" s="192" t="str">
        <f>'[3]VARIACAO PATRIMONIAL'!A20</f>
        <v>JUNHO 2021</v>
      </c>
      <c r="B20" s="194"/>
      <c r="C20" s="194"/>
      <c r="D20" s="194"/>
      <c r="E20" s="195"/>
    </row>
    <row r="21" spans="1:6" ht="20.100000000000001" customHeight="1" x14ac:dyDescent="0.35">
      <c r="A21" s="193" t="str">
        <f>'[3]VARIACAO PATRIMONIAL'!A21</f>
        <v>JULHO 2021</v>
      </c>
      <c r="B21" s="196"/>
      <c r="C21" s="196"/>
      <c r="D21" s="196"/>
      <c r="E21" s="197"/>
    </row>
    <row r="22" spans="1:6" ht="20.100000000000001" customHeight="1" x14ac:dyDescent="0.35">
      <c r="A22" s="192" t="str">
        <f>'[3]VARIACAO PATRIMONIAL'!A22</f>
        <v>AGOSTO 2021</v>
      </c>
      <c r="B22" s="194"/>
      <c r="C22" s="194"/>
      <c r="D22" s="194"/>
      <c r="E22" s="195"/>
    </row>
    <row r="23" spans="1:6" ht="20.100000000000001" customHeight="1" x14ac:dyDescent="0.35">
      <c r="A23" s="193" t="str">
        <f>'[3]VARIACAO PATRIMONIAL'!A23</f>
        <v>SETEMBRO 2021</v>
      </c>
      <c r="B23" s="196"/>
      <c r="C23" s="196"/>
      <c r="D23" s="196"/>
      <c r="E23" s="197"/>
    </row>
    <row r="24" spans="1:6" ht="20.100000000000001" customHeight="1" x14ac:dyDescent="0.35">
      <c r="A24" s="192" t="str">
        <f>'[3]VARIACAO PATRIMONIAL'!A24</f>
        <v>OUTUBRO 2021</v>
      </c>
      <c r="B24" s="194"/>
      <c r="C24" s="194"/>
      <c r="D24" s="194"/>
      <c r="E24" s="195"/>
    </row>
    <row r="25" spans="1:6" ht="20.100000000000001" customHeight="1" x14ac:dyDescent="0.35">
      <c r="A25" s="193" t="str">
        <f>'[3]VARIACAO PATRIMONIAL'!A25</f>
        <v>NOVEMBRO 2021</v>
      </c>
      <c r="B25" s="196"/>
      <c r="C25" s="196"/>
      <c r="D25" s="196"/>
      <c r="E25" s="197"/>
    </row>
    <row r="26" spans="1:6" ht="20.100000000000001" customHeight="1" x14ac:dyDescent="0.35">
      <c r="A26" s="192" t="str">
        <f>'[3]VARIACAO PATRIMONIAL'!A26</f>
        <v>DEZEMBRO 2021</v>
      </c>
      <c r="B26" s="194"/>
      <c r="C26" s="194"/>
      <c r="D26" s="194"/>
      <c r="E26" s="195"/>
    </row>
    <row r="27" spans="1:6" ht="24.95" customHeight="1" x14ac:dyDescent="0.35">
      <c r="A27" s="202" t="str">
        <f>'[3]VARIACAO PATRIMONIAL'!A27</f>
        <v>TOTAL 2021</v>
      </c>
      <c r="B27" s="203"/>
      <c r="C27" s="210">
        <f xml:space="preserve"> SUBTOTAL(9,C15:C26)</f>
        <v>0</v>
      </c>
      <c r="D27" s="210">
        <f t="shared" ref="D27:E27" si="2" xml:space="preserve"> SUBTOTAL(9,D15:D26)</f>
        <v>0</v>
      </c>
      <c r="E27" s="210">
        <f t="shared" si="2"/>
        <v>0</v>
      </c>
    </row>
    <row r="28" spans="1:6" ht="20.100000000000001" customHeight="1" x14ac:dyDescent="0.4">
      <c r="A28" s="204" t="s">
        <v>246</v>
      </c>
      <c r="B28" s="190"/>
      <c r="C28" s="190"/>
      <c r="D28" s="190"/>
      <c r="E28" s="191"/>
      <c r="F28" t="s">
        <v>85</v>
      </c>
    </row>
    <row r="29" spans="1:6" ht="20.100000000000001" customHeight="1" x14ac:dyDescent="0.4">
      <c r="A29" s="205" t="s">
        <v>247</v>
      </c>
      <c r="B29" s="188"/>
      <c r="C29" s="188"/>
      <c r="D29" s="188"/>
      <c r="E29" s="189"/>
    </row>
    <row r="30" spans="1:6" ht="20.100000000000001" customHeight="1" x14ac:dyDescent="0.4">
      <c r="A30" s="204" t="s">
        <v>248</v>
      </c>
      <c r="B30" s="190"/>
      <c r="C30" s="190"/>
      <c r="D30" s="190"/>
      <c r="E30" s="191"/>
    </row>
    <row r="31" spans="1:6" ht="20.100000000000001" customHeight="1" x14ac:dyDescent="0.4">
      <c r="A31" s="205" t="s">
        <v>249</v>
      </c>
      <c r="B31" s="188"/>
      <c r="C31" s="188"/>
      <c r="D31" s="188"/>
      <c r="E31" s="189"/>
    </row>
    <row r="32" spans="1:6" ht="20.100000000000001" customHeight="1" x14ac:dyDescent="0.4">
      <c r="A32" s="204" t="s">
        <v>250</v>
      </c>
      <c r="B32" s="190"/>
      <c r="C32" s="190"/>
      <c r="D32" s="190"/>
      <c r="E32" s="191"/>
      <c r="F32" t="s">
        <v>85</v>
      </c>
    </row>
    <row r="33" spans="1:6" ht="20.100000000000001" customHeight="1" x14ac:dyDescent="0.4">
      <c r="A33" s="205" t="s">
        <v>251</v>
      </c>
      <c r="B33" s="188"/>
      <c r="C33" s="188"/>
      <c r="D33" s="188"/>
      <c r="E33" s="189"/>
      <c r="F33" t="s">
        <v>85</v>
      </c>
    </row>
    <row r="34" spans="1:6" ht="20.100000000000001" customHeight="1" x14ac:dyDescent="0.4">
      <c r="A34" s="204" t="s">
        <v>252</v>
      </c>
      <c r="B34" s="190"/>
      <c r="C34" s="190"/>
      <c r="D34" s="190"/>
      <c r="E34" s="191"/>
      <c r="F34" t="s">
        <v>85</v>
      </c>
    </row>
    <row r="35" spans="1:6" ht="20.100000000000001" customHeight="1" x14ac:dyDescent="0.4">
      <c r="A35" s="205" t="s">
        <v>253</v>
      </c>
      <c r="B35" s="188"/>
      <c r="C35" s="188"/>
      <c r="D35" s="188"/>
      <c r="E35" s="189"/>
      <c r="F35" t="s">
        <v>85</v>
      </c>
    </row>
    <row r="36" spans="1:6" ht="20.100000000000001" customHeight="1" x14ac:dyDescent="0.4">
      <c r="A36" s="204" t="s">
        <v>254</v>
      </c>
      <c r="B36" s="190"/>
      <c r="C36" s="190"/>
      <c r="D36" s="190"/>
      <c r="E36" s="191"/>
      <c r="F36" t="s">
        <v>85</v>
      </c>
    </row>
    <row r="37" spans="1:6" ht="20.100000000000001" customHeight="1" x14ac:dyDescent="0.4">
      <c r="A37" s="205" t="s">
        <v>255</v>
      </c>
      <c r="B37" s="188"/>
      <c r="C37" s="188"/>
      <c r="D37" s="188"/>
      <c r="E37" s="189"/>
      <c r="F37" t="s">
        <v>85</v>
      </c>
    </row>
    <row r="38" spans="1:6" ht="20.100000000000001" customHeight="1" x14ac:dyDescent="0.4">
      <c r="A38" s="204" t="s">
        <v>256</v>
      </c>
      <c r="B38" s="190"/>
      <c r="C38" s="190"/>
      <c r="D38" s="190"/>
      <c r="E38" s="191"/>
      <c r="F38" t="s">
        <v>85</v>
      </c>
    </row>
    <row r="39" spans="1:6" ht="20.100000000000001" customHeight="1" x14ac:dyDescent="0.4">
      <c r="A39" s="205" t="s">
        <v>257</v>
      </c>
      <c r="B39" s="188"/>
      <c r="C39" s="188"/>
      <c r="D39" s="188"/>
      <c r="E39" s="189"/>
      <c r="F39" t="s">
        <v>85</v>
      </c>
    </row>
    <row r="40" spans="1:6" ht="24.95" customHeight="1" x14ac:dyDescent="0.35">
      <c r="A40" s="202" t="s">
        <v>258</v>
      </c>
      <c r="B40" s="203"/>
      <c r="C40" s="210">
        <f xml:space="preserve"> SUBTOTAL(9,C28:C39)</f>
        <v>0</v>
      </c>
      <c r="D40" s="210">
        <f t="shared" ref="D40:E40" si="3" xml:space="preserve"> SUBTOTAL(9,D28:D39)</f>
        <v>0</v>
      </c>
      <c r="E40" s="210">
        <f t="shared" si="3"/>
        <v>0</v>
      </c>
    </row>
    <row r="41" spans="1:6" ht="20.100000000000001" customHeight="1" x14ac:dyDescent="0.4">
      <c r="A41" s="204" t="s">
        <v>264</v>
      </c>
      <c r="B41" s="190"/>
      <c r="C41" s="190"/>
      <c r="D41" s="190"/>
      <c r="E41" s="191"/>
    </row>
    <row r="42" spans="1:6" ht="20.100000000000001" customHeight="1" x14ac:dyDescent="0.4">
      <c r="A42" s="205" t="s">
        <v>265</v>
      </c>
      <c r="B42" s="188"/>
      <c r="C42" s="188"/>
      <c r="D42" s="188"/>
      <c r="E42" s="189"/>
    </row>
    <row r="43" spans="1:6" ht="20.100000000000001" customHeight="1" x14ac:dyDescent="0.4">
      <c r="A43" s="204" t="s">
        <v>266</v>
      </c>
      <c r="B43" s="190"/>
      <c r="C43" s="190"/>
      <c r="D43" s="190"/>
      <c r="E43" s="191"/>
    </row>
    <row r="44" spans="1:6" ht="20.100000000000001" customHeight="1" x14ac:dyDescent="0.4">
      <c r="A44" s="205" t="s">
        <v>267</v>
      </c>
      <c r="B44" s="188"/>
      <c r="C44" s="188"/>
      <c r="D44" s="188"/>
      <c r="E44" s="189"/>
    </row>
    <row r="45" spans="1:6" ht="20.100000000000001" customHeight="1" x14ac:dyDescent="0.4">
      <c r="A45" s="204" t="s">
        <v>268</v>
      </c>
      <c r="B45" s="190"/>
      <c r="C45" s="190"/>
      <c r="D45" s="190"/>
      <c r="E45" s="191"/>
    </row>
    <row r="46" spans="1:6" ht="20.100000000000001" customHeight="1" x14ac:dyDescent="0.4">
      <c r="A46" s="205" t="s">
        <v>269</v>
      </c>
      <c r="B46" s="188"/>
      <c r="C46" s="188"/>
      <c r="D46" s="188"/>
      <c r="E46" s="189">
        <f t="shared" ref="E46:E51" si="4" xml:space="preserve"> (B46 - B45) - (C46 - ABS(D46))</f>
        <v>0</v>
      </c>
    </row>
    <row r="47" spans="1:6" ht="20.100000000000001" customHeight="1" x14ac:dyDescent="0.4">
      <c r="A47" s="204" t="s">
        <v>270</v>
      </c>
      <c r="B47" s="190"/>
      <c r="C47" s="190"/>
      <c r="D47" s="190"/>
      <c r="E47" s="191">
        <f t="shared" si="4"/>
        <v>0</v>
      </c>
    </row>
    <row r="48" spans="1:6" ht="20.100000000000001" customHeight="1" x14ac:dyDescent="0.4">
      <c r="A48" s="205" t="s">
        <v>271</v>
      </c>
      <c r="B48" s="188"/>
      <c r="C48" s="188"/>
      <c r="D48" s="188"/>
      <c r="E48" s="189">
        <f t="shared" si="4"/>
        <v>0</v>
      </c>
    </row>
    <row r="49" spans="1:5" ht="20.100000000000001" customHeight="1" x14ac:dyDescent="0.4">
      <c r="A49" s="204" t="s">
        <v>272</v>
      </c>
      <c r="B49" s="190"/>
      <c r="C49" s="190"/>
      <c r="D49" s="190"/>
      <c r="E49" s="191">
        <f t="shared" si="4"/>
        <v>0</v>
      </c>
    </row>
    <row r="50" spans="1:5" ht="20.100000000000001" customHeight="1" x14ac:dyDescent="0.4">
      <c r="A50" s="205" t="s">
        <v>273</v>
      </c>
      <c r="B50" s="188"/>
      <c r="C50" s="188"/>
      <c r="D50" s="188"/>
      <c r="E50" s="189">
        <f t="shared" si="4"/>
        <v>0</v>
      </c>
    </row>
    <row r="51" spans="1:5" ht="20.100000000000001" customHeight="1" x14ac:dyDescent="0.4">
      <c r="A51" s="204" t="s">
        <v>274</v>
      </c>
      <c r="B51" s="190"/>
      <c r="C51" s="190"/>
      <c r="D51" s="190"/>
      <c r="E51" s="191">
        <f t="shared" si="4"/>
        <v>0</v>
      </c>
    </row>
    <row r="52" spans="1:5" ht="20.100000000000001" customHeight="1" x14ac:dyDescent="0.4">
      <c r="A52" s="205" t="s">
        <v>275</v>
      </c>
      <c r="B52" s="188"/>
      <c r="C52" s="188"/>
      <c r="D52" s="188"/>
      <c r="E52" s="189">
        <f xml:space="preserve"> (B52 - B51) - (C52 - ABS(D52))</f>
        <v>0</v>
      </c>
    </row>
    <row r="53" spans="1:5" ht="24.95" customHeight="1" x14ac:dyDescent="0.35">
      <c r="A53" s="202"/>
      <c r="B53" s="203"/>
      <c r="C53" s="210">
        <f xml:space="preserve"> SUBTOTAL(9,C41:C52)</f>
        <v>0</v>
      </c>
      <c r="D53" s="210">
        <f t="shared" ref="D53:E53" si="5" xml:space="preserve"> SUBTOTAL(9,D41:D52)</f>
        <v>0</v>
      </c>
      <c r="E53" s="210">
        <f t="shared" si="5"/>
        <v>0</v>
      </c>
    </row>
    <row r="55" spans="1:5" ht="24.95" customHeight="1" x14ac:dyDescent="0.35">
      <c r="A55" s="206" t="s">
        <v>259</v>
      </c>
      <c r="B55" s="207"/>
      <c r="C55" s="208">
        <f xml:space="preserve"> SUBTOTAL(9, C2:C54)</f>
        <v>220537.20999999996</v>
      </c>
      <c r="D55" s="208">
        <f t="shared" ref="D55:E55" si="6" xml:space="preserve"> SUBTOTAL(9, D2:D54)</f>
        <v>-189240</v>
      </c>
      <c r="E55" s="208">
        <f t="shared" si="6"/>
        <v>4400.5599999999977</v>
      </c>
    </row>
    <row r="57" spans="1:5" ht="15" customHeight="1" x14ac:dyDescent="0.35">
      <c r="A57" s="35"/>
      <c r="B57" s="36"/>
    </row>
    <row r="58" spans="1:5" x14ac:dyDescent="0.35">
      <c r="A58" s="36"/>
      <c r="B58" s="36"/>
    </row>
    <row r="59" spans="1:5" x14ac:dyDescent="0.35">
      <c r="A59" s="36"/>
      <c r="B59" s="36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2DD90-0724-4AA3-A27D-78417DD91CF0}">
  <sheetPr codeName="Feuil6">
    <tabColor rgb="FF00B0F0"/>
  </sheetPr>
  <dimension ref="A1:C7"/>
  <sheetViews>
    <sheetView zoomScale="110" zoomScaleNormal="110" workbookViewId="0">
      <selection activeCell="E18" sqref="E18"/>
    </sheetView>
  </sheetViews>
  <sheetFormatPr baseColWidth="10" defaultRowHeight="11.65" x14ac:dyDescent="0.35"/>
  <cols>
    <col min="1" max="1" width="54.3828125" bestFit="1" customWidth="1"/>
    <col min="2" max="2" width="31.53515625" customWidth="1"/>
    <col min="3" max="3" width="25.84375" customWidth="1"/>
    <col min="4" max="4" width="18.15234375" customWidth="1"/>
    <col min="5" max="17" width="18.53515625" customWidth="1"/>
  </cols>
  <sheetData>
    <row r="1" spans="1:3" ht="30" customHeight="1" x14ac:dyDescent="0.35">
      <c r="A1" s="68" t="s">
        <v>207</v>
      </c>
      <c r="B1" s="68" t="s">
        <v>206</v>
      </c>
      <c r="C1" s="69" t="s">
        <v>199</v>
      </c>
    </row>
    <row r="2" spans="1:3" ht="24.95" customHeight="1" x14ac:dyDescent="0.35">
      <c r="A2" s="37">
        <v>2020</v>
      </c>
      <c r="B2" s="75">
        <f>'[1]VARIACAO PATRIMONIAL'!$E$14</f>
        <v>5937.5100000000384</v>
      </c>
      <c r="C2" s="75">
        <f>'[1]MOVIMENTACOES MENSAIS'!$AJ$25</f>
        <v>-629.57999999999811</v>
      </c>
    </row>
    <row r="3" spans="1:3" ht="24.95" customHeight="1" x14ac:dyDescent="0.35">
      <c r="A3" s="38">
        <v>2021</v>
      </c>
      <c r="B3" s="76">
        <f>'[3]VARIACAO PATRIMONIAL'!$E$27</f>
        <v>12532.710000000045</v>
      </c>
      <c r="C3" s="76">
        <f>'[3]MOVIMENTACOES MENSAIS'!$AJ$36</f>
        <v>8345.0400000000009</v>
      </c>
    </row>
    <row r="4" spans="1:3" ht="24.95" customHeight="1" x14ac:dyDescent="0.35">
      <c r="A4" s="37">
        <v>2022</v>
      </c>
      <c r="B4" s="75">
        <f>'VARIACAO PATRIMONIAL'!$E$40</f>
        <v>17158.069999999883</v>
      </c>
      <c r="C4" s="75" t="e">
        <f>'MOVIMENTACOES MENSAIS'!#REF!</f>
        <v>#REF!</v>
      </c>
    </row>
    <row r="5" spans="1:3" ht="24.95" customHeight="1" x14ac:dyDescent="0.35">
      <c r="A5" s="38"/>
      <c r="B5" s="76"/>
      <c r="C5" s="76"/>
    </row>
    <row r="6" spans="1:3" ht="24.95" customHeight="1" x14ac:dyDescent="0.35">
      <c r="A6" s="37"/>
      <c r="B6" s="75"/>
      <c r="C6" s="75"/>
    </row>
    <row r="7" spans="1:3" ht="24.95" customHeight="1" x14ac:dyDescent="0.35">
      <c r="A7" s="39" t="s">
        <v>142</v>
      </c>
      <c r="B7" s="40">
        <f t="shared" ref="B7:C7" si="0">SUBTOTAL(9,B2:B6)</f>
        <v>35628.289999999964</v>
      </c>
      <c r="C7" s="40" t="e">
        <f t="shared" si="0"/>
        <v>#REF!</v>
      </c>
    </row>
  </sheetData>
  <conditionalFormatting sqref="C2:C7">
    <cfRule type="cellIs" dxfId="10" priority="1" operator="greaterThan">
      <formula>0</formula>
    </cfRule>
    <cfRule type="cellIs" dxfId="9" priority="2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52570-3556-4A7D-83E4-A854AEFE2767}">
  <sheetPr codeName="Feuil14">
    <tabColor rgb="FF7030A0"/>
  </sheetPr>
  <dimension ref="A1:AM69"/>
  <sheetViews>
    <sheetView zoomScale="140" zoomScaleNormal="140" workbookViewId="0">
      <pane xSplit="3" ySplit="1" topLeftCell="AI2" activePane="bottomRight" state="frozen"/>
      <selection pane="topRight" activeCell="D1" sqref="D1"/>
      <selection pane="bottomLeft" activeCell="A2" sqref="A2"/>
      <selection pane="bottomRight" activeCell="C7" sqref="C7"/>
    </sheetView>
  </sheetViews>
  <sheetFormatPr baseColWidth="10" defaultColWidth="11.3828125" defaultRowHeight="11.65" x14ac:dyDescent="0.35"/>
  <cols>
    <col min="1" max="1" width="25.4609375" customWidth="1"/>
    <col min="2" max="2" width="34" bestFit="1" customWidth="1"/>
    <col min="3" max="3" width="40.15234375" customWidth="1"/>
    <col min="4" max="4" width="18" customWidth="1"/>
    <col min="5" max="5" width="24.84375" bestFit="1" customWidth="1"/>
    <col min="6" max="6" width="20.53515625" customWidth="1"/>
    <col min="7" max="31" width="18.69140625" customWidth="1"/>
    <col min="32" max="32" width="19.15234375" customWidth="1"/>
    <col min="33" max="33" width="20.3046875" bestFit="1" customWidth="1"/>
    <col min="34" max="34" width="22.3828125" bestFit="1" customWidth="1"/>
    <col min="35" max="35" width="21.3828125" bestFit="1" customWidth="1"/>
    <col min="36" max="36" width="17.69140625" customWidth="1"/>
    <col min="37" max="37" width="27.53515625" customWidth="1"/>
    <col min="38" max="38" width="27" customWidth="1"/>
    <col min="39" max="39" width="25.69140625" customWidth="1"/>
  </cols>
  <sheetData>
    <row r="1" spans="1:39" ht="60" customHeight="1" thickTop="1" x14ac:dyDescent="0.35">
      <c r="A1" s="78" t="s">
        <v>101</v>
      </c>
      <c r="B1" s="79" t="s">
        <v>102</v>
      </c>
      <c r="C1" s="79" t="s">
        <v>325</v>
      </c>
      <c r="D1" s="79" t="s">
        <v>138</v>
      </c>
      <c r="E1" s="79" t="s">
        <v>139</v>
      </c>
      <c r="F1" s="79" t="s">
        <v>158</v>
      </c>
      <c r="G1" s="79" t="s">
        <v>164</v>
      </c>
      <c r="H1" s="79" t="s">
        <v>165</v>
      </c>
      <c r="I1" s="79" t="s">
        <v>166</v>
      </c>
      <c r="J1" s="79" t="s">
        <v>167</v>
      </c>
      <c r="K1" s="79" t="s">
        <v>168</v>
      </c>
      <c r="L1" s="79" t="s">
        <v>169</v>
      </c>
      <c r="M1" s="79" t="s">
        <v>170</v>
      </c>
      <c r="N1" s="79" t="s">
        <v>171</v>
      </c>
      <c r="O1" s="79" t="s">
        <v>172</v>
      </c>
      <c r="P1" s="79" t="s">
        <v>173</v>
      </c>
      <c r="Q1" s="79" t="s">
        <v>174</v>
      </c>
      <c r="R1" s="79" t="s">
        <v>175</v>
      </c>
      <c r="S1" s="79" t="s">
        <v>176</v>
      </c>
      <c r="T1" s="79" t="s">
        <v>177</v>
      </c>
      <c r="U1" s="79" t="s">
        <v>178</v>
      </c>
      <c r="V1" s="79" t="s">
        <v>179</v>
      </c>
      <c r="W1" s="79" t="s">
        <v>180</v>
      </c>
      <c r="X1" s="79" t="s">
        <v>181</v>
      </c>
      <c r="Y1" s="79" t="s">
        <v>182</v>
      </c>
      <c r="Z1" s="79" t="s">
        <v>183</v>
      </c>
      <c r="AA1" s="79" t="s">
        <v>184</v>
      </c>
      <c r="AB1" s="79" t="s">
        <v>185</v>
      </c>
      <c r="AC1" s="79" t="s">
        <v>186</v>
      </c>
      <c r="AD1" s="79" t="s">
        <v>187</v>
      </c>
      <c r="AE1" s="79" t="s">
        <v>188</v>
      </c>
      <c r="AF1" s="79" t="s">
        <v>189</v>
      </c>
      <c r="AG1" s="97" t="s">
        <v>163</v>
      </c>
      <c r="AH1" s="97" t="s">
        <v>190</v>
      </c>
      <c r="AI1" s="97" t="s">
        <v>191</v>
      </c>
      <c r="AJ1" s="97" t="s">
        <v>199</v>
      </c>
      <c r="AK1" s="97" t="s">
        <v>155</v>
      </c>
      <c r="AL1" s="97" t="s">
        <v>193</v>
      </c>
      <c r="AM1" s="98" t="s">
        <v>156</v>
      </c>
    </row>
    <row r="2" spans="1:39" ht="20.100000000000001" customHeight="1" x14ac:dyDescent="0.35">
      <c r="A2" s="85" t="s">
        <v>96</v>
      </c>
      <c r="B2" s="86" t="s">
        <v>96</v>
      </c>
      <c r="C2" s="217" t="s">
        <v>154</v>
      </c>
      <c r="D2" s="218">
        <v>44167</v>
      </c>
      <c r="E2" s="218">
        <v>44650</v>
      </c>
      <c r="F2" s="88">
        <v>12500</v>
      </c>
      <c r="G2" s="88">
        <v>12500</v>
      </c>
      <c r="H2" s="88">
        <v>0</v>
      </c>
      <c r="I2" s="88"/>
      <c r="J2" s="88"/>
      <c r="K2" s="88"/>
      <c r="L2" s="88"/>
      <c r="M2" s="88"/>
      <c r="N2" s="88">
        <v>-12176.87</v>
      </c>
      <c r="O2" s="88">
        <v>0</v>
      </c>
      <c r="P2" s="88">
        <v>0</v>
      </c>
      <c r="Q2" s="88">
        <v>0</v>
      </c>
      <c r="R2" s="88">
        <v>0</v>
      </c>
      <c r="S2" s="88">
        <v>0</v>
      </c>
      <c r="T2" s="88">
        <v>0</v>
      </c>
      <c r="U2" s="88">
        <v>0</v>
      </c>
      <c r="V2" s="88">
        <v>0</v>
      </c>
      <c r="W2" s="88">
        <v>0</v>
      </c>
      <c r="X2" s="88">
        <v>0</v>
      </c>
      <c r="Y2" s="88">
        <v>0</v>
      </c>
      <c r="Z2" s="88">
        <v>0</v>
      </c>
      <c r="AA2" s="88">
        <v>0</v>
      </c>
      <c r="AB2" s="88">
        <v>0</v>
      </c>
      <c r="AC2" s="88">
        <v>0</v>
      </c>
      <c r="AD2" s="88">
        <v>0</v>
      </c>
      <c r="AE2" s="88">
        <v>0</v>
      </c>
      <c r="AF2" s="88">
        <v>0</v>
      </c>
      <c r="AG2" s="102">
        <v>323.1299999999992</v>
      </c>
      <c r="AH2" s="102">
        <v>12500</v>
      </c>
      <c r="AI2" s="102">
        <v>-12176.87</v>
      </c>
      <c r="AJ2" s="102">
        <v>323.1299999999992</v>
      </c>
      <c r="AK2" s="215">
        <v>-1.6280935155279464E-3</v>
      </c>
      <c r="AL2" s="215">
        <v>-1.9534981366459578E-2</v>
      </c>
      <c r="AM2" s="216">
        <v>-2.5850399999999937E-2</v>
      </c>
    </row>
    <row r="3" spans="1:39" ht="20.100000000000001" customHeight="1" x14ac:dyDescent="0.35">
      <c r="A3" s="81" t="s">
        <v>94</v>
      </c>
      <c r="B3" s="82" t="s">
        <v>3</v>
      </c>
      <c r="C3" s="211" t="s">
        <v>215</v>
      </c>
      <c r="D3" s="212">
        <v>44636</v>
      </c>
      <c r="E3" s="212">
        <v>44650</v>
      </c>
      <c r="F3" s="84">
        <v>30000</v>
      </c>
      <c r="G3" s="84"/>
      <c r="H3" s="84"/>
      <c r="I3" s="84">
        <v>0</v>
      </c>
      <c r="J3" s="84">
        <v>0</v>
      </c>
      <c r="K3" s="84">
        <v>0</v>
      </c>
      <c r="L3" s="84">
        <v>0</v>
      </c>
      <c r="M3" s="84">
        <v>30085.24</v>
      </c>
      <c r="N3" s="84">
        <v>-30085.24</v>
      </c>
      <c r="O3" s="84"/>
      <c r="P3" s="84"/>
      <c r="Q3" s="84"/>
      <c r="R3" s="84"/>
      <c r="S3" s="84"/>
      <c r="T3" s="84"/>
      <c r="U3" s="84"/>
      <c r="V3" s="84"/>
      <c r="W3" s="84"/>
      <c r="X3" s="84"/>
      <c r="Y3" s="84"/>
      <c r="Z3" s="84"/>
      <c r="AA3" s="84"/>
      <c r="AB3" s="84"/>
      <c r="AC3" s="84"/>
      <c r="AD3" s="84"/>
      <c r="AE3" s="84"/>
      <c r="AF3" s="84"/>
      <c r="AG3" s="99">
        <v>0</v>
      </c>
      <c r="AH3" s="99">
        <v>30085.24</v>
      </c>
      <c r="AI3" s="99">
        <v>-30085.24</v>
      </c>
      <c r="AJ3" s="99">
        <v>0</v>
      </c>
      <c r="AK3" s="213">
        <v>0</v>
      </c>
      <c r="AL3" s="213">
        <v>0</v>
      </c>
      <c r="AM3" s="214">
        <v>0</v>
      </c>
    </row>
    <row r="4" spans="1:39" ht="20.100000000000001" customHeight="1" x14ac:dyDescent="0.35">
      <c r="A4" s="85" t="s">
        <v>1</v>
      </c>
      <c r="B4" s="86" t="s">
        <v>1</v>
      </c>
      <c r="C4" s="217" t="s">
        <v>234</v>
      </c>
      <c r="D4" s="218">
        <v>44651</v>
      </c>
      <c r="E4" s="218">
        <v>44865</v>
      </c>
      <c r="F4" s="88">
        <v>20000</v>
      </c>
      <c r="G4" s="88"/>
      <c r="H4" s="88"/>
      <c r="I4" s="88">
        <v>0</v>
      </c>
      <c r="J4" s="88">
        <v>0</v>
      </c>
      <c r="K4" s="88">
        <v>0</v>
      </c>
      <c r="L4" s="88">
        <v>0</v>
      </c>
      <c r="M4" s="88">
        <v>20000</v>
      </c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>
        <v>-20000</v>
      </c>
      <c r="AC4" s="88"/>
      <c r="AD4" s="88"/>
      <c r="AE4" s="88"/>
      <c r="AF4" s="88"/>
      <c r="AG4" s="102">
        <v>0</v>
      </c>
      <c r="AH4" s="102">
        <v>20000</v>
      </c>
      <c r="AI4" s="102">
        <v>-20000</v>
      </c>
      <c r="AJ4" s="102">
        <v>0</v>
      </c>
      <c r="AK4" s="215">
        <v>0</v>
      </c>
      <c r="AL4" s="215">
        <v>0</v>
      </c>
      <c r="AM4" s="216">
        <v>0</v>
      </c>
    </row>
    <row r="5" spans="1:39" ht="20.100000000000001" customHeight="1" x14ac:dyDescent="0.35">
      <c r="A5" s="85" t="s">
        <v>94</v>
      </c>
      <c r="B5" s="86" t="s">
        <v>3</v>
      </c>
      <c r="C5" s="217" t="s">
        <v>227</v>
      </c>
      <c r="D5" s="218">
        <v>44665</v>
      </c>
      <c r="E5" s="218">
        <v>44685</v>
      </c>
      <c r="F5" s="88">
        <v>669.28</v>
      </c>
      <c r="G5" s="88"/>
      <c r="H5" s="88"/>
      <c r="I5" s="88">
        <v>0</v>
      </c>
      <c r="J5" s="88">
        <v>0</v>
      </c>
      <c r="K5" s="88">
        <v>0</v>
      </c>
      <c r="L5" s="88">
        <v>0</v>
      </c>
      <c r="M5" s="88">
        <v>0</v>
      </c>
      <c r="N5" s="88">
        <v>0</v>
      </c>
      <c r="O5" s="88">
        <v>669.28</v>
      </c>
      <c r="P5" s="88">
        <v>0</v>
      </c>
      <c r="Q5" s="88">
        <v>1.73</v>
      </c>
      <c r="R5" s="88">
        <v>-672.89</v>
      </c>
      <c r="S5" s="88">
        <v>0</v>
      </c>
      <c r="T5" s="88">
        <v>0</v>
      </c>
      <c r="U5" s="88">
        <v>0</v>
      </c>
      <c r="V5" s="88">
        <v>0</v>
      </c>
      <c r="W5" s="88">
        <v>0</v>
      </c>
      <c r="X5" s="88">
        <v>0</v>
      </c>
      <c r="Y5" s="88">
        <v>0</v>
      </c>
      <c r="Z5" s="88">
        <v>0</v>
      </c>
      <c r="AA5" s="88">
        <v>0</v>
      </c>
      <c r="AB5" s="88">
        <v>0</v>
      </c>
      <c r="AC5" s="88">
        <v>0</v>
      </c>
      <c r="AD5" s="88"/>
      <c r="AE5" s="88">
        <v>0</v>
      </c>
      <c r="AF5" s="88">
        <v>0</v>
      </c>
      <c r="AG5" s="102">
        <v>-1.8799999999999955</v>
      </c>
      <c r="AH5" s="102">
        <v>671.01</v>
      </c>
      <c r="AI5" s="102">
        <v>-672.89</v>
      </c>
      <c r="AJ5" s="102">
        <v>-1.8799999999999955</v>
      </c>
      <c r="AK5" s="215">
        <v>4.2614566101846375E-3</v>
      </c>
      <c r="AL5" s="215">
        <v>5.1131875828974119E-2</v>
      </c>
      <c r="AM5" s="216">
        <v>2.8017466207657048E-3</v>
      </c>
    </row>
    <row r="6" spans="1:39" ht="20.100000000000001" customHeight="1" x14ac:dyDescent="0.35">
      <c r="A6" s="85" t="s">
        <v>94</v>
      </c>
      <c r="B6" s="86" t="s">
        <v>3</v>
      </c>
      <c r="C6" s="217" t="s">
        <v>200</v>
      </c>
      <c r="D6" s="218">
        <v>44512</v>
      </c>
      <c r="E6" s="218">
        <v>44543</v>
      </c>
      <c r="F6" s="88">
        <v>10000</v>
      </c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>
        <v>10000</v>
      </c>
      <c r="AD6" s="88"/>
      <c r="AE6" s="88">
        <v>14.02</v>
      </c>
      <c r="AF6" s="88">
        <v>-10062.32</v>
      </c>
      <c r="AG6" s="102">
        <v>-48.299999999999272</v>
      </c>
      <c r="AH6" s="102">
        <v>10014.02</v>
      </c>
      <c r="AI6" s="102">
        <v>-10062.32</v>
      </c>
      <c r="AJ6" s="102">
        <v>-48.299999999999272</v>
      </c>
      <c r="AK6" s="215">
        <v>4.7329965968356813E-3</v>
      </c>
      <c r="AL6" s="215">
        <v>5.6789735629356464E-2</v>
      </c>
      <c r="AM6" s="216">
        <v>4.8232378205754801E-3</v>
      </c>
    </row>
    <row r="7" spans="1:39" ht="20.100000000000001" customHeight="1" x14ac:dyDescent="0.35">
      <c r="A7" s="81" t="s">
        <v>94</v>
      </c>
      <c r="B7" s="82" t="s">
        <v>3</v>
      </c>
      <c r="C7" s="211" t="s">
        <v>228</v>
      </c>
      <c r="D7" s="212">
        <v>44691</v>
      </c>
      <c r="E7" s="212">
        <v>44711</v>
      </c>
      <c r="F7" s="84">
        <v>7760.3</v>
      </c>
      <c r="G7" s="84"/>
      <c r="H7" s="84"/>
      <c r="I7" s="84">
        <v>0</v>
      </c>
      <c r="J7" s="84">
        <v>0</v>
      </c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7783.2300000000005</v>
      </c>
      <c r="R7" s="84">
        <v>-7022.93</v>
      </c>
      <c r="S7" s="84"/>
      <c r="T7" s="84"/>
      <c r="U7" s="84">
        <v>4.51</v>
      </c>
      <c r="V7" s="84">
        <v>-805.15</v>
      </c>
      <c r="W7" s="84"/>
      <c r="X7" s="84"/>
      <c r="Y7" s="84"/>
      <c r="Z7" s="84"/>
      <c r="AA7" s="84"/>
      <c r="AB7" s="84"/>
      <c r="AC7" s="84"/>
      <c r="AD7" s="84"/>
      <c r="AE7" s="84"/>
      <c r="AF7" s="84"/>
      <c r="AG7" s="99">
        <v>-40.339999999999804</v>
      </c>
      <c r="AH7" s="99">
        <v>7787.7400000000007</v>
      </c>
      <c r="AI7" s="99">
        <v>-7828.08</v>
      </c>
      <c r="AJ7" s="99">
        <v>-40.339999999999804</v>
      </c>
      <c r="AK7" s="213">
        <v>7.8786836745961854E-3</v>
      </c>
      <c r="AL7" s="213">
        <v>9.453384422181485E-2</v>
      </c>
      <c r="AM7" s="214">
        <v>5.1799366696884848E-3</v>
      </c>
    </row>
    <row r="8" spans="1:39" ht="24.95" customHeight="1" x14ac:dyDescent="0.35">
      <c r="A8" s="81" t="s">
        <v>94</v>
      </c>
      <c r="B8" s="82" t="s">
        <v>3</v>
      </c>
      <c r="C8" s="211" t="s">
        <v>198</v>
      </c>
      <c r="D8" s="212">
        <v>44543</v>
      </c>
      <c r="E8" s="212">
        <v>44574</v>
      </c>
      <c r="F8" s="84">
        <v>11000</v>
      </c>
      <c r="G8" s="84">
        <v>11000</v>
      </c>
      <c r="H8" s="84">
        <v>0</v>
      </c>
      <c r="I8" s="84">
        <v>21.25</v>
      </c>
      <c r="J8" s="84">
        <v>-11094.45</v>
      </c>
      <c r="K8" s="84"/>
      <c r="L8" s="84"/>
      <c r="M8" s="84"/>
      <c r="N8" s="84"/>
      <c r="O8" s="84"/>
      <c r="P8" s="84"/>
      <c r="Q8" s="84"/>
      <c r="R8" s="84"/>
      <c r="S8" s="84"/>
      <c r="T8" s="84"/>
      <c r="U8" s="84"/>
      <c r="V8" s="84"/>
      <c r="W8" s="84"/>
      <c r="X8" s="84"/>
      <c r="Y8" s="84"/>
      <c r="Z8" s="84"/>
      <c r="AA8" s="84"/>
      <c r="AB8" s="84"/>
      <c r="AC8" s="84"/>
      <c r="AD8" s="84"/>
      <c r="AE8" s="84"/>
      <c r="AF8" s="84"/>
      <c r="AG8" s="99">
        <v>-73.200000000000728</v>
      </c>
      <c r="AH8" s="99">
        <v>11021.25</v>
      </c>
      <c r="AI8" s="99">
        <v>-11094.45</v>
      </c>
      <c r="AJ8" s="99">
        <v>-73.200000000000728</v>
      </c>
      <c r="AK8" s="213">
        <v>6.5174505262927474E-3</v>
      </c>
      <c r="AL8" s="213">
        <v>7.8200836360843282E-2</v>
      </c>
      <c r="AM8" s="214">
        <v>6.6417148690031281E-3</v>
      </c>
    </row>
    <row r="9" spans="1:39" ht="24.95" customHeight="1" x14ac:dyDescent="0.35">
      <c r="A9" s="89" t="s">
        <v>96</v>
      </c>
      <c r="B9" s="90" t="s">
        <v>96</v>
      </c>
      <c r="C9" s="222" t="s">
        <v>260</v>
      </c>
      <c r="D9" s="91">
        <v>43976</v>
      </c>
      <c r="E9" s="91">
        <v>44109</v>
      </c>
      <c r="F9" s="92">
        <v>52000</v>
      </c>
      <c r="G9" s="92"/>
      <c r="H9" s="92"/>
      <c r="I9" s="92"/>
      <c r="J9" s="92"/>
      <c r="K9" s="92"/>
      <c r="L9" s="92"/>
      <c r="M9" s="92"/>
      <c r="N9" s="92"/>
      <c r="O9" s="92"/>
      <c r="P9" s="92"/>
      <c r="Q9" s="92">
        <f xml:space="preserve"> 52000 + 32000</f>
        <v>84000</v>
      </c>
      <c r="R9" s="92"/>
      <c r="S9" s="92">
        <v>8000</v>
      </c>
      <c r="T9" s="92"/>
      <c r="U9" s="92">
        <v>11000</v>
      </c>
      <c r="V9" s="92">
        <v>-21000</v>
      </c>
      <c r="W9" s="92">
        <v>20120.27</v>
      </c>
      <c r="X9" s="92">
        <v>-58000</v>
      </c>
      <c r="Y9" s="92">
        <v>3000</v>
      </c>
      <c r="Z9" s="92">
        <v>-30000</v>
      </c>
      <c r="AA9" s="92">
        <v>1500</v>
      </c>
      <c r="AB9" s="92">
        <v>-18902.810000000001</v>
      </c>
      <c r="AC9" s="92"/>
      <c r="AD9" s="92"/>
      <c r="AE9" s="92"/>
      <c r="AF9" s="92"/>
      <c r="AG9" s="99">
        <f>SUM(G9:AF9)</f>
        <v>-282.53999999999724</v>
      </c>
      <c r="AH9" s="99">
        <f xml:space="preserve"> 'HISTORICO APLICACOES'!$G3 + 'HISTORICO APLICACOES'!$I3 + 'HISTORICO APLICACOES'!$K3 + 'HISTORICO APLICACOES'!$M3 + 'HISTORICO APLICACOES'!$O3 + 'HISTORICO APLICACOES'!$Q3 + 'HISTORICO APLICACOES'!$S3 + 'HISTORICO APLICACOES'!$U3 + 'HISTORICO APLICACOES'!$W3 + 'HISTORICO APLICACOES'!$Y3 + 'HISTORICO APLICACOES'!$AA3 + 'HISTORICO APLICACOES'!$AC3 + 'HISTORICO APLICACOES'!$AE3</f>
        <v>30085.24</v>
      </c>
      <c r="AI9" s="99">
        <f>'HISTORICO APLICACOES'!$H3 + 'HISTORICO APLICACOES'!$J3 + 'HISTORICO APLICACOES'!$L3 + 'HISTORICO APLICACOES'!$N3 + 'HISTORICO APLICACOES'!$P3 + 'HISTORICO APLICACOES'!$R3 + 'HISTORICO APLICACOES'!$T3 + 'HISTORICO APLICACOES'!$V3 + 'HISTORICO APLICACOES'!$X3 + 'HISTORICO APLICACOES'!$Z3 + 'HISTORICO APLICACOES'!$AB3 + 'HISTORICO APLICACOES'!$AD3 + 'HISTORICO APLICACOES'!$AF3</f>
        <v>-30085.24</v>
      </c>
      <c r="AJ9" s="99">
        <f xml:space="preserve"> AG9</f>
        <v>-282.53999999999724</v>
      </c>
      <c r="AK9" s="213">
        <f xml:space="preserve"> -($AG9 / $AH9) / (_xlfn.DAYS($E9,$D9) / 30.42 )</f>
        <v>2.1479987743696213E-3</v>
      </c>
      <c r="AL9" s="213">
        <f xml:space="preserve"> -($AG9 / $AH9) / (_xlfn.DAYS($E9,$D9) / 365 )</f>
        <v>2.5773160836453379E-2</v>
      </c>
      <c r="AM9" s="214">
        <f xml:space="preserve"> -($AG9 / $AH9)</f>
        <v>9.3913161404062997E-3</v>
      </c>
    </row>
    <row r="10" spans="1:39" ht="24.95" customHeight="1" x14ac:dyDescent="0.35">
      <c r="A10" s="81" t="s">
        <v>94</v>
      </c>
      <c r="B10" s="82" t="s">
        <v>8</v>
      </c>
      <c r="C10" s="211" t="s">
        <v>128</v>
      </c>
      <c r="D10" s="212">
        <v>43971</v>
      </c>
      <c r="E10" s="212">
        <v>44061</v>
      </c>
      <c r="F10" s="84">
        <v>20000</v>
      </c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>
        <v>20000</v>
      </c>
      <c r="R10" s="84"/>
      <c r="S10" s="84"/>
      <c r="T10" s="84"/>
      <c r="U10" s="84"/>
      <c r="V10" s="84"/>
      <c r="W10" s="84"/>
      <c r="X10" s="84">
        <v>-20120.27</v>
      </c>
      <c r="Y10" s="84"/>
      <c r="Z10" s="84"/>
      <c r="AA10" s="84"/>
      <c r="AB10" s="84"/>
      <c r="AC10" s="84"/>
      <c r="AD10" s="84"/>
      <c r="AE10" s="84"/>
      <c r="AF10" s="84"/>
      <c r="AG10" s="99">
        <f>SUM(G10:AF10)</f>
        <v>-120.27000000000044</v>
      </c>
      <c r="AH10" s="99">
        <f xml:space="preserve"> 'HISTORICO APLICACOES'!$G2 + 'HISTORICO APLICACOES'!$I2 + 'HISTORICO APLICACOES'!$K2 + 'HISTORICO APLICACOES'!$M2 + 'HISTORICO APLICACOES'!$O2 + 'HISTORICO APLICACOES'!$Q2 + 'HISTORICO APLICACOES'!$S2 + 'HISTORICO APLICACOES'!$U2 + 'HISTORICO APLICACOES'!$W2 + 'HISTORICO APLICACOES'!$Y2 + 'HISTORICO APLICACOES'!$AA2 + 'HISTORICO APLICACOES'!$AC2 + 'HISTORICO APLICACOES'!$AE2</f>
        <v>12500</v>
      </c>
      <c r="AI10" s="99">
        <f>'HISTORICO APLICACOES'!$H2 + 'HISTORICO APLICACOES'!$J2 + 'HISTORICO APLICACOES'!$L2 + 'HISTORICO APLICACOES'!$N2 + 'HISTORICO APLICACOES'!$P2 + 'HISTORICO APLICACOES'!$R2 + 'HISTORICO APLICACOES'!$T2 + 'HISTORICO APLICACOES'!$V2 + 'HISTORICO APLICACOES'!$X2 + 'HISTORICO APLICACOES'!$Z2 + 'HISTORICO APLICACOES'!$AB2 + 'HISTORICO APLICACOES'!$AD2 + 'HISTORICO APLICACOES'!$AF2</f>
        <v>-12176.87</v>
      </c>
      <c r="AJ10" s="99">
        <f xml:space="preserve"> AG10</f>
        <v>-120.27000000000044</v>
      </c>
      <c r="AK10" s="213">
        <f xml:space="preserve"> -($AG10 / $AH10) / (_xlfn.DAYS($E10,$D10) / 30.42 )</f>
        <v>3.2521008000000119E-3</v>
      </c>
      <c r="AL10" s="213">
        <f xml:space="preserve"> -($AG10 / $AH10) / (_xlfn.DAYS($E10,$D10) / 365 )</f>
        <v>3.902093333333348E-2</v>
      </c>
      <c r="AM10" s="214">
        <f xml:space="preserve"> -($AG10 / $AH10)</f>
        <v>9.6216000000000357E-3</v>
      </c>
    </row>
    <row r="11" spans="1:39" ht="24.95" customHeight="1" x14ac:dyDescent="0.35">
      <c r="A11" s="81" t="s">
        <v>94</v>
      </c>
      <c r="B11" s="82" t="s">
        <v>3</v>
      </c>
      <c r="C11" s="211" t="s">
        <v>152</v>
      </c>
      <c r="D11" s="212">
        <v>44109</v>
      </c>
      <c r="E11" s="212">
        <v>44449</v>
      </c>
      <c r="F11" s="84">
        <v>18900</v>
      </c>
      <c r="G11" s="84">
        <v>18906.3</v>
      </c>
      <c r="H11" s="84">
        <v>-10038.530000000001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>
        <v>16.79</v>
      </c>
      <c r="X11" s="84">
        <v>-4016.79</v>
      </c>
      <c r="Y11" s="84">
        <v>27.45</v>
      </c>
      <c r="Z11" s="84">
        <v>-5093.95</v>
      </c>
      <c r="AA11" s="84"/>
      <c r="AB11" s="84"/>
      <c r="AC11" s="84"/>
      <c r="AD11" s="84"/>
      <c r="AE11" s="84"/>
      <c r="AF11" s="84"/>
      <c r="AG11" s="99">
        <v>-198.73000000000047</v>
      </c>
      <c r="AH11" s="99">
        <v>18950.54</v>
      </c>
      <c r="AI11" s="99">
        <v>-19149.27</v>
      </c>
      <c r="AJ11" s="99">
        <v>-198.73000000000047</v>
      </c>
      <c r="AK11" s="213">
        <v>9.3825769608676284E-4</v>
      </c>
      <c r="AL11" s="213">
        <v>1.1257858615110732E-2</v>
      </c>
      <c r="AM11" s="214">
        <v>1.0486772408596298E-2</v>
      </c>
    </row>
    <row r="12" spans="1:39" ht="24.95" customHeight="1" x14ac:dyDescent="0.35">
      <c r="A12" s="85" t="s">
        <v>94</v>
      </c>
      <c r="B12" s="86" t="s">
        <v>8</v>
      </c>
      <c r="C12" s="217" t="s">
        <v>127</v>
      </c>
      <c r="D12" s="218">
        <v>43972</v>
      </c>
      <c r="E12" s="218">
        <v>44158</v>
      </c>
      <c r="F12" s="88">
        <v>20000</v>
      </c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>
        <v>20000</v>
      </c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>
        <v>-20226.77</v>
      </c>
      <c r="AE12" s="88"/>
      <c r="AF12" s="88"/>
      <c r="AG12" s="102">
        <f>SUM(G12:AF12)</f>
        <v>-226.77000000000044</v>
      </c>
      <c r="AH12" s="102">
        <f xml:space="preserve"> 'HISTORICO APLICACOES'!$G4 + 'HISTORICO APLICACOES'!$I4 + 'HISTORICO APLICACOES'!$K4 + 'HISTORICO APLICACOES'!$M4 + 'HISTORICO APLICACOES'!$O4 + 'HISTORICO APLICACOES'!$Q4 + 'HISTORICO APLICACOES'!$S4 + 'HISTORICO APLICACOES'!$U4 + 'HISTORICO APLICACOES'!$W4 + 'HISTORICO APLICACOES'!$Y4 + 'HISTORICO APLICACOES'!$AA4 + 'HISTORICO APLICACOES'!$AC4 + 'HISTORICO APLICACOES'!$AE4</f>
        <v>20000</v>
      </c>
      <c r="AI12" s="102">
        <f>'HISTORICO APLICACOES'!$H4 + 'HISTORICO APLICACOES'!$J4 + 'HISTORICO APLICACOES'!$L4 + 'HISTORICO APLICACOES'!$N4 + 'HISTORICO APLICACOES'!$P4 + 'HISTORICO APLICACOES'!$R4 + 'HISTORICO APLICACOES'!$T4 + 'HISTORICO APLICACOES'!$V4 + 'HISTORICO APLICACOES'!$X4 + 'HISTORICO APLICACOES'!$Z4 + 'HISTORICO APLICACOES'!$AB4 + 'HISTORICO APLICACOES'!$AD4 + 'HISTORICO APLICACOES'!$AF4</f>
        <v>-20000</v>
      </c>
      <c r="AJ12" s="102">
        <f xml:space="preserve"> AG12</f>
        <v>-226.77000000000044</v>
      </c>
      <c r="AK12" s="215">
        <f xml:space="preserve"> -($AG12 / $AH12) / (_xlfn.DAYS($E12,$D12) / 30.42 )</f>
        <v>1.854393387096778E-3</v>
      </c>
      <c r="AL12" s="215">
        <f xml:space="preserve"> -($AG12 / $AH12) / (_xlfn.DAYS($E12,$D12) / 365 )</f>
        <v>2.2250282258064559E-2</v>
      </c>
      <c r="AM12" s="216">
        <f xml:space="preserve"> -($AG12 / $AH12)</f>
        <v>1.1338500000000022E-2</v>
      </c>
    </row>
    <row r="13" spans="1:39" ht="24.95" customHeight="1" x14ac:dyDescent="0.35">
      <c r="A13" s="81" t="s">
        <v>94</v>
      </c>
      <c r="B13" s="82" t="s">
        <v>3</v>
      </c>
      <c r="C13" s="211" t="s">
        <v>216</v>
      </c>
      <c r="D13" s="212">
        <v>44636</v>
      </c>
      <c r="E13" s="212">
        <v>44685</v>
      </c>
      <c r="F13" s="84">
        <v>628.94000000000005</v>
      </c>
      <c r="G13" s="84"/>
      <c r="H13" s="84"/>
      <c r="I13" s="84">
        <v>0</v>
      </c>
      <c r="J13" s="84">
        <v>0</v>
      </c>
      <c r="K13" s="84">
        <v>0</v>
      </c>
      <c r="L13" s="84">
        <v>0</v>
      </c>
      <c r="M13" s="84">
        <v>628.94000000000005</v>
      </c>
      <c r="N13" s="84">
        <v>0</v>
      </c>
      <c r="O13" s="84">
        <v>0</v>
      </c>
      <c r="P13" s="84">
        <v>0</v>
      </c>
      <c r="Q13" s="84">
        <v>2.11</v>
      </c>
      <c r="R13" s="84">
        <v>-638.33000000000004</v>
      </c>
      <c r="S13" s="84">
        <v>0</v>
      </c>
      <c r="T13" s="84">
        <v>0</v>
      </c>
      <c r="U13" s="84">
        <v>0</v>
      </c>
      <c r="V13" s="84">
        <v>0</v>
      </c>
      <c r="W13" s="84">
        <v>0</v>
      </c>
      <c r="X13" s="84">
        <v>0</v>
      </c>
      <c r="Y13" s="84">
        <v>0</v>
      </c>
      <c r="Z13" s="84">
        <v>0</v>
      </c>
      <c r="AA13" s="84">
        <v>0</v>
      </c>
      <c r="AB13" s="84">
        <v>0</v>
      </c>
      <c r="AC13" s="84">
        <v>0</v>
      </c>
      <c r="AD13" s="84">
        <v>0</v>
      </c>
      <c r="AE13" s="84">
        <v>0</v>
      </c>
      <c r="AF13" s="84">
        <v>0</v>
      </c>
      <c r="AG13" s="99">
        <v>-7.2799999999999727</v>
      </c>
      <c r="AH13" s="99">
        <v>631.05000000000007</v>
      </c>
      <c r="AI13" s="99">
        <v>-638.33000000000004</v>
      </c>
      <c r="AJ13" s="99">
        <v>-7.2799999999999727</v>
      </c>
      <c r="AK13" s="213">
        <v>7.1619409827158552E-3</v>
      </c>
      <c r="AL13" s="213">
        <v>8.593387438169911E-2</v>
      </c>
      <c r="AM13" s="214">
        <v>1.1536328341652757E-2</v>
      </c>
    </row>
    <row r="14" spans="1:39" ht="24.95" customHeight="1" x14ac:dyDescent="0.35">
      <c r="A14" s="85" t="s">
        <v>94</v>
      </c>
      <c r="B14" s="86" t="s">
        <v>9</v>
      </c>
      <c r="C14" s="217" t="s">
        <v>231</v>
      </c>
      <c r="D14" s="218">
        <v>44575</v>
      </c>
      <c r="E14" s="218">
        <v>44665</v>
      </c>
      <c r="F14" s="88">
        <v>11000</v>
      </c>
      <c r="G14" s="88"/>
      <c r="H14" s="88"/>
      <c r="I14" s="88">
        <v>11000</v>
      </c>
      <c r="J14" s="88"/>
      <c r="K14" s="88"/>
      <c r="L14" s="88"/>
      <c r="M14" s="88"/>
      <c r="N14" s="88"/>
      <c r="O14" s="88"/>
      <c r="P14" s="88">
        <v>-11267.02</v>
      </c>
      <c r="Q14" s="88">
        <v>0</v>
      </c>
      <c r="R14" s="88">
        <v>0</v>
      </c>
      <c r="S14" s="88">
        <v>0</v>
      </c>
      <c r="T14" s="88">
        <v>0</v>
      </c>
      <c r="U14" s="88">
        <v>0</v>
      </c>
      <c r="V14" s="88">
        <v>0</v>
      </c>
      <c r="W14" s="88">
        <v>0</v>
      </c>
      <c r="X14" s="88">
        <v>0</v>
      </c>
      <c r="Y14" s="88">
        <v>0</v>
      </c>
      <c r="Z14" s="88">
        <v>0</v>
      </c>
      <c r="AA14" s="88">
        <v>0</v>
      </c>
      <c r="AB14" s="88">
        <v>0</v>
      </c>
      <c r="AC14" s="88">
        <v>0</v>
      </c>
      <c r="AD14" s="88">
        <v>0</v>
      </c>
      <c r="AE14" s="88">
        <v>0</v>
      </c>
      <c r="AF14" s="88">
        <v>0</v>
      </c>
      <c r="AG14" s="102">
        <v>-267.02000000000044</v>
      </c>
      <c r="AH14" s="102">
        <v>11000</v>
      </c>
      <c r="AI14" s="102">
        <v>-11267.02</v>
      </c>
      <c r="AJ14" s="102">
        <v>-267.02000000000044</v>
      </c>
      <c r="AK14" s="215">
        <v>8.2047963636363765E-3</v>
      </c>
      <c r="AL14" s="215">
        <v>9.8446767676767841E-2</v>
      </c>
      <c r="AM14" s="216">
        <v>2.4274545454545493E-2</v>
      </c>
    </row>
    <row r="15" spans="1:39" ht="24.95" customHeight="1" x14ac:dyDescent="0.35">
      <c r="A15" s="85" t="s">
        <v>94</v>
      </c>
      <c r="B15" s="86" t="s">
        <v>3</v>
      </c>
      <c r="C15" s="217" t="s">
        <v>147</v>
      </c>
      <c r="D15" s="218">
        <v>44049</v>
      </c>
      <c r="E15" s="218">
        <v>44414</v>
      </c>
      <c r="F15" s="88">
        <v>20000</v>
      </c>
      <c r="G15" s="88">
        <v>20000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>
        <v>131.26</v>
      </c>
      <c r="X15" s="88">
        <v>-20750.099999999999</v>
      </c>
      <c r="Y15" s="88"/>
      <c r="Z15" s="88"/>
      <c r="AA15" s="88"/>
      <c r="AB15" s="88"/>
      <c r="AC15" s="88"/>
      <c r="AD15" s="88"/>
      <c r="AE15" s="88"/>
      <c r="AF15" s="88"/>
      <c r="AG15" s="102">
        <v>-618.84000000000015</v>
      </c>
      <c r="AH15" s="102">
        <v>20131.259999999998</v>
      </c>
      <c r="AI15" s="102">
        <v>-20750.099999999999</v>
      </c>
      <c r="AJ15" s="102">
        <v>-618.84000000000015</v>
      </c>
      <c r="AK15" s="215">
        <v>2.5619683768849707E-3</v>
      </c>
      <c r="AL15" s="215">
        <v>3.0740251727909739E-2</v>
      </c>
      <c r="AM15" s="216">
        <v>3.0740251727909739E-2</v>
      </c>
    </row>
    <row r="16" spans="1:39" ht="24.95" customHeight="1" x14ac:dyDescent="0.35">
      <c r="A16" s="85" t="s">
        <v>94</v>
      </c>
      <c r="B16" s="86" t="s">
        <v>9</v>
      </c>
      <c r="C16" s="217" t="s">
        <v>232</v>
      </c>
      <c r="D16" s="218">
        <v>44585</v>
      </c>
      <c r="E16" s="218">
        <v>44767</v>
      </c>
      <c r="F16" s="88">
        <v>9000</v>
      </c>
      <c r="G16" s="88"/>
      <c r="H16" s="88"/>
      <c r="I16" s="88">
        <v>9000</v>
      </c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>
        <v>-9470.4500000000007</v>
      </c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102">
        <v>-470.45000000000073</v>
      </c>
      <c r="AH16" s="102">
        <v>9000</v>
      </c>
      <c r="AI16" s="102">
        <v>-9470.4500000000007</v>
      </c>
      <c r="AJ16" s="102">
        <v>-470.45000000000073</v>
      </c>
      <c r="AK16" s="215">
        <v>8.7369285714285847E-3</v>
      </c>
      <c r="AL16" s="215">
        <v>0.10483165445665461</v>
      </c>
      <c r="AM16" s="216">
        <v>5.2272222222222303E-2</v>
      </c>
    </row>
    <row r="17" spans="1:39" ht="24.95" customHeight="1" x14ac:dyDescent="0.35">
      <c r="A17" s="81" t="s">
        <v>94</v>
      </c>
      <c r="B17" s="82" t="s">
        <v>8</v>
      </c>
      <c r="C17" s="211" t="s">
        <v>233</v>
      </c>
      <c r="D17" s="212">
        <v>44705</v>
      </c>
      <c r="E17" s="212">
        <v>44886</v>
      </c>
      <c r="F17" s="84">
        <v>10000</v>
      </c>
      <c r="G17" s="84"/>
      <c r="H17" s="84"/>
      <c r="I17" s="84">
        <v>0</v>
      </c>
      <c r="J17" s="84">
        <v>0</v>
      </c>
      <c r="K17" s="84">
        <v>0</v>
      </c>
      <c r="L17" s="84">
        <v>0</v>
      </c>
      <c r="M17" s="84">
        <v>0</v>
      </c>
      <c r="N17" s="84">
        <v>0</v>
      </c>
      <c r="O17" s="84">
        <v>0</v>
      </c>
      <c r="P17" s="84">
        <v>0</v>
      </c>
      <c r="Q17" s="84">
        <v>10000</v>
      </c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84"/>
      <c r="AC17" s="84"/>
      <c r="AD17" s="84">
        <v>-10610.93</v>
      </c>
      <c r="AE17" s="84"/>
      <c r="AF17" s="84"/>
      <c r="AG17" s="99">
        <v>-610.93000000000029</v>
      </c>
      <c r="AH17" s="99">
        <v>10000</v>
      </c>
      <c r="AI17" s="99">
        <v>-10610.93</v>
      </c>
      <c r="AJ17" s="99">
        <v>-610.93000000000029</v>
      </c>
      <c r="AK17" s="213">
        <v>1.026767436464089E-2</v>
      </c>
      <c r="AL17" s="213">
        <v>0.12319859116022105</v>
      </c>
      <c r="AM17" s="214">
        <v>6.1093000000000029E-2</v>
      </c>
    </row>
    <row r="18" spans="1:39" ht="24.95" customHeight="1" x14ac:dyDescent="0.35">
      <c r="A18" s="81" t="s">
        <v>96</v>
      </c>
      <c r="B18" s="82" t="s">
        <v>96</v>
      </c>
      <c r="C18" s="211" t="s">
        <v>124</v>
      </c>
      <c r="D18" s="212">
        <v>43976</v>
      </c>
      <c r="E18" s="212">
        <v>44638</v>
      </c>
      <c r="F18" s="84">
        <v>28000</v>
      </c>
      <c r="G18" s="84">
        <v>28000</v>
      </c>
      <c r="H18" s="84">
        <v>0</v>
      </c>
      <c r="I18" s="84"/>
      <c r="J18" s="84"/>
      <c r="K18" s="84"/>
      <c r="L18" s="84"/>
      <c r="M18" s="84"/>
      <c r="N18" s="84">
        <v>-29894.9</v>
      </c>
      <c r="O18" s="84"/>
      <c r="P18" s="84"/>
      <c r="Q18" s="84"/>
      <c r="R18" s="84"/>
      <c r="S18" s="84"/>
      <c r="T18" s="84"/>
      <c r="U18" s="84"/>
      <c r="V18" s="84"/>
      <c r="W18" s="84"/>
      <c r="X18" s="84"/>
      <c r="Y18" s="84"/>
      <c r="Z18" s="84"/>
      <c r="AA18" s="84"/>
      <c r="AB18" s="84"/>
      <c r="AC18" s="84"/>
      <c r="AD18" s="84"/>
      <c r="AE18" s="84"/>
      <c r="AF18" s="84"/>
      <c r="AG18" s="99">
        <v>-1894.9000000000015</v>
      </c>
      <c r="AH18" s="99">
        <v>28000</v>
      </c>
      <c r="AI18" s="99">
        <v>-29894.9</v>
      </c>
      <c r="AJ18" s="99">
        <v>-1894.9000000000015</v>
      </c>
      <c r="AK18" s="213">
        <v>3.109778700906347E-3</v>
      </c>
      <c r="AL18" s="213">
        <v>3.7313255287009094E-2</v>
      </c>
      <c r="AM18" s="214">
        <v>6.7675000000000055E-2</v>
      </c>
    </row>
    <row r="19" spans="1:39" ht="24.95" customHeight="1" x14ac:dyDescent="0.35">
      <c r="A19" s="85" t="s">
        <v>96</v>
      </c>
      <c r="B19" s="86" t="s">
        <v>96</v>
      </c>
      <c r="C19" s="217" t="s">
        <v>97</v>
      </c>
      <c r="D19" s="218">
        <v>43976</v>
      </c>
      <c r="E19" s="218">
        <v>44704</v>
      </c>
      <c r="F19" s="88">
        <v>20000</v>
      </c>
      <c r="G19" s="88">
        <v>20000</v>
      </c>
      <c r="H19" s="88">
        <v>0</v>
      </c>
      <c r="I19" s="88"/>
      <c r="J19" s="88"/>
      <c r="K19" s="88"/>
      <c r="L19" s="88"/>
      <c r="M19" s="88"/>
      <c r="N19" s="88"/>
      <c r="O19" s="88"/>
      <c r="P19" s="88"/>
      <c r="Q19" s="88"/>
      <c r="R19" s="88">
        <v>-21563.79</v>
      </c>
      <c r="S19" s="88">
        <v>0</v>
      </c>
      <c r="T19" s="88">
        <v>0</v>
      </c>
      <c r="U19" s="88">
        <v>0</v>
      </c>
      <c r="V19" s="88">
        <v>0</v>
      </c>
      <c r="W19" s="88">
        <v>0</v>
      </c>
      <c r="X19" s="88">
        <v>0</v>
      </c>
      <c r="Y19" s="88">
        <v>0</v>
      </c>
      <c r="Z19" s="88">
        <v>0</v>
      </c>
      <c r="AA19" s="88">
        <v>0</v>
      </c>
      <c r="AB19" s="88">
        <v>0</v>
      </c>
      <c r="AC19" s="88">
        <v>0</v>
      </c>
      <c r="AD19" s="88">
        <v>0</v>
      </c>
      <c r="AE19" s="88">
        <v>0</v>
      </c>
      <c r="AF19" s="88">
        <v>0</v>
      </c>
      <c r="AG19" s="102">
        <v>-1563.7900000000009</v>
      </c>
      <c r="AH19" s="102">
        <v>20000</v>
      </c>
      <c r="AI19" s="102">
        <v>-21563.79</v>
      </c>
      <c r="AJ19" s="102">
        <v>-1563.7900000000009</v>
      </c>
      <c r="AK19" s="215">
        <v>3.2672041071428585E-3</v>
      </c>
      <c r="AL19" s="215">
        <v>3.9202153159340676E-2</v>
      </c>
      <c r="AM19" s="216">
        <v>7.8189500000000037E-2</v>
      </c>
    </row>
    <row r="20" spans="1:39" ht="24.95" customHeight="1" x14ac:dyDescent="0.35">
      <c r="A20" s="81" t="s">
        <v>96</v>
      </c>
      <c r="B20" s="82" t="s">
        <v>96</v>
      </c>
      <c r="C20" s="211" t="s">
        <v>125</v>
      </c>
      <c r="D20" s="212">
        <v>43985</v>
      </c>
      <c r="E20" s="212">
        <v>44496</v>
      </c>
      <c r="F20" s="84">
        <v>10000</v>
      </c>
      <c r="G20" s="84">
        <v>10000</v>
      </c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  <c r="S20" s="84"/>
      <c r="T20" s="84"/>
      <c r="U20" s="84"/>
      <c r="V20" s="84"/>
      <c r="W20" s="84"/>
      <c r="X20" s="84"/>
      <c r="Y20" s="84"/>
      <c r="Z20" s="84"/>
      <c r="AA20" s="84"/>
      <c r="AB20" s="84">
        <v>-10789.09</v>
      </c>
      <c r="AC20" s="84"/>
      <c r="AD20" s="84"/>
      <c r="AE20" s="84"/>
      <c r="AF20" s="84"/>
      <c r="AG20" s="99">
        <v>-789.09000000000015</v>
      </c>
      <c r="AH20" s="99">
        <v>10000</v>
      </c>
      <c r="AI20" s="99">
        <v>-10789.09</v>
      </c>
      <c r="AJ20" s="99">
        <v>-789.09000000000015</v>
      </c>
      <c r="AK20" s="213">
        <v>4.6974790215264205E-3</v>
      </c>
      <c r="AL20" s="213">
        <v>5.636357142857145E-2</v>
      </c>
      <c r="AM20" s="214">
        <v>7.8909000000000021E-2</v>
      </c>
    </row>
    <row r="21" spans="1:39" ht="24.95" customHeight="1" x14ac:dyDescent="0.35">
      <c r="A21" s="81" t="s">
        <v>96</v>
      </c>
      <c r="B21" s="82" t="s">
        <v>96</v>
      </c>
      <c r="C21" s="211" t="s">
        <v>153</v>
      </c>
      <c r="D21" s="212">
        <v>44162</v>
      </c>
      <c r="E21" s="212">
        <v>44691</v>
      </c>
      <c r="F21" s="84">
        <v>21000</v>
      </c>
      <c r="G21" s="84">
        <v>21000</v>
      </c>
      <c r="H21" s="84">
        <v>0</v>
      </c>
      <c r="I21" s="84">
        <v>0</v>
      </c>
      <c r="J21" s="84">
        <v>0</v>
      </c>
      <c r="K21" s="84">
        <v>0</v>
      </c>
      <c r="L21" s="84">
        <v>0</v>
      </c>
      <c r="M21" s="84">
        <v>0</v>
      </c>
      <c r="N21" s="84">
        <v>0</v>
      </c>
      <c r="O21" s="84">
        <v>0</v>
      </c>
      <c r="P21" s="84">
        <v>0</v>
      </c>
      <c r="Q21" s="84">
        <v>0</v>
      </c>
      <c r="R21" s="84">
        <v>-23698.49</v>
      </c>
      <c r="S21" s="84">
        <v>0</v>
      </c>
      <c r="T21" s="84">
        <v>0</v>
      </c>
      <c r="U21" s="84">
        <v>0</v>
      </c>
      <c r="V21" s="84">
        <v>0</v>
      </c>
      <c r="W21" s="84">
        <v>0</v>
      </c>
      <c r="X21" s="84">
        <v>0</v>
      </c>
      <c r="Y21" s="84">
        <v>0</v>
      </c>
      <c r="Z21" s="84">
        <v>0</v>
      </c>
      <c r="AA21" s="84">
        <v>0</v>
      </c>
      <c r="AB21" s="84">
        <v>0</v>
      </c>
      <c r="AC21" s="84">
        <v>0</v>
      </c>
      <c r="AD21" s="84">
        <v>0</v>
      </c>
      <c r="AE21" s="84">
        <v>0</v>
      </c>
      <c r="AF21" s="84">
        <v>0</v>
      </c>
      <c r="AG21" s="99">
        <v>-2698.4900000000016</v>
      </c>
      <c r="AH21" s="99">
        <v>21000</v>
      </c>
      <c r="AI21" s="99">
        <v>-23698.49</v>
      </c>
      <c r="AJ21" s="99">
        <v>-2698.4900000000016</v>
      </c>
      <c r="AK21" s="213">
        <v>7.3893298946799951E-3</v>
      </c>
      <c r="AL21" s="213">
        <v>8.8662242326042015E-2</v>
      </c>
      <c r="AM21" s="214">
        <v>0.1284995238095239</v>
      </c>
    </row>
    <row r="22" spans="1:39" ht="24.95" customHeight="1" x14ac:dyDescent="0.35">
      <c r="A22" s="85" t="s">
        <v>96</v>
      </c>
      <c r="B22" s="86" t="s">
        <v>96</v>
      </c>
      <c r="C22" s="217" t="s">
        <v>157</v>
      </c>
      <c r="D22" s="218">
        <v>44232</v>
      </c>
      <c r="E22" s="218">
        <v>44704</v>
      </c>
      <c r="F22" s="88">
        <v>6000</v>
      </c>
      <c r="G22" s="88">
        <v>6000</v>
      </c>
      <c r="H22" s="88">
        <v>0</v>
      </c>
      <c r="I22" s="88">
        <v>0</v>
      </c>
      <c r="J22" s="88">
        <v>0</v>
      </c>
      <c r="K22" s="88">
        <v>430.86</v>
      </c>
      <c r="L22" s="88">
        <v>0</v>
      </c>
      <c r="M22" s="88">
        <v>0</v>
      </c>
      <c r="N22" s="88">
        <v>0</v>
      </c>
      <c r="O22" s="88">
        <v>0</v>
      </c>
      <c r="P22" s="88">
        <v>0</v>
      </c>
      <c r="Q22" s="88">
        <v>0</v>
      </c>
      <c r="R22" s="88">
        <v>-7261.69</v>
      </c>
      <c r="S22" s="88">
        <v>0</v>
      </c>
      <c r="T22" s="88">
        <v>0</v>
      </c>
      <c r="U22" s="88">
        <v>0</v>
      </c>
      <c r="V22" s="88">
        <v>0</v>
      </c>
      <c r="W22" s="88">
        <v>0</v>
      </c>
      <c r="X22" s="88">
        <v>0</v>
      </c>
      <c r="Y22" s="88">
        <v>0</v>
      </c>
      <c r="Z22" s="88">
        <v>0</v>
      </c>
      <c r="AA22" s="88">
        <v>0</v>
      </c>
      <c r="AB22" s="88">
        <v>0</v>
      </c>
      <c r="AC22" s="88">
        <v>0</v>
      </c>
      <c r="AD22" s="88"/>
      <c r="AE22" s="88">
        <v>0</v>
      </c>
      <c r="AF22" s="88">
        <v>0</v>
      </c>
      <c r="AG22" s="102">
        <v>-830.82999999999993</v>
      </c>
      <c r="AH22" s="102">
        <v>6430.86</v>
      </c>
      <c r="AI22" s="102">
        <v>-7261.69</v>
      </c>
      <c r="AJ22" s="102">
        <v>-830.82999999999993</v>
      </c>
      <c r="AK22" s="215">
        <v>8.3264585773566296E-3</v>
      </c>
      <c r="AL22" s="215">
        <v>9.9906554264798483E-2</v>
      </c>
      <c r="AM22" s="216">
        <v>0.12919422907667091</v>
      </c>
    </row>
    <row r="23" spans="1:39" ht="24.95" customHeight="1" x14ac:dyDescent="0.35">
      <c r="A23" s="85" t="s">
        <v>96</v>
      </c>
      <c r="B23" s="86" t="s">
        <v>96</v>
      </c>
      <c r="C23" s="217" t="s">
        <v>126</v>
      </c>
      <c r="D23" s="218">
        <v>43977</v>
      </c>
      <c r="E23" s="218">
        <v>44622</v>
      </c>
      <c r="F23" s="88">
        <v>24549.79</v>
      </c>
      <c r="G23" s="88">
        <v>35450.78</v>
      </c>
      <c r="H23" s="88">
        <v>0</v>
      </c>
      <c r="I23" s="88"/>
      <c r="J23" s="88"/>
      <c r="K23" s="88"/>
      <c r="L23" s="88"/>
      <c r="M23" s="88"/>
      <c r="N23" s="88">
        <v>-41645.17</v>
      </c>
      <c r="O23" s="88">
        <v>0</v>
      </c>
      <c r="P23" s="88">
        <v>0</v>
      </c>
      <c r="Q23" s="88">
        <v>0</v>
      </c>
      <c r="R23" s="88">
        <v>0</v>
      </c>
      <c r="S23" s="88">
        <v>0</v>
      </c>
      <c r="T23" s="88">
        <v>0</v>
      </c>
      <c r="U23" s="88">
        <v>0</v>
      </c>
      <c r="V23" s="88">
        <v>0</v>
      </c>
      <c r="W23" s="88">
        <v>0</v>
      </c>
      <c r="X23" s="88">
        <v>0</v>
      </c>
      <c r="Y23" s="88">
        <v>0</v>
      </c>
      <c r="Z23" s="88">
        <v>0</v>
      </c>
      <c r="AA23" s="88">
        <v>0</v>
      </c>
      <c r="AB23" s="88">
        <v>0</v>
      </c>
      <c r="AC23" s="88">
        <v>0</v>
      </c>
      <c r="AD23" s="88">
        <v>0</v>
      </c>
      <c r="AE23" s="88">
        <v>0</v>
      </c>
      <c r="AF23" s="88">
        <v>0</v>
      </c>
      <c r="AG23" s="102">
        <v>-6194.3899999999994</v>
      </c>
      <c r="AH23" s="102">
        <v>35450.78</v>
      </c>
      <c r="AI23" s="102">
        <v>-41645.17</v>
      </c>
      <c r="AJ23" s="102">
        <v>-6194.3899999999994</v>
      </c>
      <c r="AK23" s="215">
        <v>8.2408544768201846E-3</v>
      </c>
      <c r="AL23" s="215">
        <v>9.8879417621280968E-2</v>
      </c>
      <c r="AM23" s="216">
        <v>0.17473212154993487</v>
      </c>
    </row>
    <row r="24" spans="1:39" ht="24.95" customHeight="1" x14ac:dyDescent="0.35">
      <c r="A24" s="81" t="s">
        <v>96</v>
      </c>
      <c r="B24" s="82" t="s">
        <v>96</v>
      </c>
      <c r="C24" s="211" t="s">
        <v>137</v>
      </c>
      <c r="D24" s="212">
        <v>44042</v>
      </c>
      <c r="E24" s="212">
        <v>44816</v>
      </c>
      <c r="F24" s="84">
        <v>20000</v>
      </c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>
        <v>-24895.31</v>
      </c>
      <c r="AA24" s="84"/>
      <c r="AB24" s="84"/>
      <c r="AC24" s="84"/>
      <c r="AD24" s="84"/>
      <c r="AE24" s="84"/>
      <c r="AF24" s="84"/>
      <c r="AG24" s="99">
        <v>-4895.3100000000013</v>
      </c>
      <c r="AH24" s="99">
        <v>20000</v>
      </c>
      <c r="AI24" s="99">
        <v>-24895.31</v>
      </c>
      <c r="AJ24" s="99">
        <v>-4895.3100000000013</v>
      </c>
      <c r="AK24" s="213">
        <v>9.6198533720930259E-3</v>
      </c>
      <c r="AL24" s="213">
        <v>0.11542559108527134</v>
      </c>
      <c r="AM24" s="214">
        <v>0.24476550000000005</v>
      </c>
    </row>
    <row r="25" spans="1:39" ht="24.95" customHeight="1" x14ac:dyDescent="0.35">
      <c r="A25" s="85" t="s">
        <v>94</v>
      </c>
      <c r="B25" s="86" t="s">
        <v>3</v>
      </c>
      <c r="C25" s="217" t="s">
        <v>147</v>
      </c>
      <c r="D25" s="218">
        <v>44049</v>
      </c>
      <c r="E25" s="218">
        <v>44414</v>
      </c>
      <c r="F25" s="88">
        <v>20000</v>
      </c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102">
        <v>0</v>
      </c>
      <c r="AH25" s="102">
        <v>0</v>
      </c>
      <c r="AI25" s="102">
        <v>0</v>
      </c>
      <c r="AJ25" s="102">
        <v>0</v>
      </c>
      <c r="AK25" s="215"/>
      <c r="AL25" s="215"/>
      <c r="AM25" s="216"/>
    </row>
    <row r="26" spans="1:39" ht="24.95" customHeight="1" x14ac:dyDescent="0.35">
      <c r="A26" s="81" t="s">
        <v>94</v>
      </c>
      <c r="B26" s="82" t="s">
        <v>3</v>
      </c>
      <c r="C26" s="211" t="s">
        <v>152</v>
      </c>
      <c r="D26" s="212">
        <v>44109</v>
      </c>
      <c r="E26" s="212">
        <v>44449</v>
      </c>
      <c r="F26" s="84">
        <v>18900</v>
      </c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99">
        <v>0</v>
      </c>
      <c r="AH26" s="99">
        <v>0</v>
      </c>
      <c r="AI26" s="99">
        <v>0</v>
      </c>
      <c r="AJ26" s="99">
        <v>0</v>
      </c>
      <c r="AK26" s="213"/>
      <c r="AL26" s="213"/>
      <c r="AM26" s="214"/>
    </row>
    <row r="27" spans="1:39" ht="24.95" customHeight="1" thickBot="1" x14ac:dyDescent="0.4">
      <c r="A27" s="236" t="s">
        <v>94</v>
      </c>
      <c r="B27" s="237" t="s">
        <v>3</v>
      </c>
      <c r="C27" s="245" t="s">
        <v>200</v>
      </c>
      <c r="D27" s="246">
        <v>44512</v>
      </c>
      <c r="E27" s="246">
        <v>44543</v>
      </c>
      <c r="F27" s="238">
        <v>10000</v>
      </c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  <c r="T27" s="238"/>
      <c r="U27" s="238"/>
      <c r="V27" s="238"/>
      <c r="W27" s="238"/>
      <c r="X27" s="238"/>
      <c r="Y27" s="238"/>
      <c r="Z27" s="238"/>
      <c r="AA27" s="238"/>
      <c r="AB27" s="238"/>
      <c r="AC27" s="238"/>
      <c r="AD27" s="238"/>
      <c r="AE27" s="238"/>
      <c r="AF27" s="238"/>
      <c r="AG27" s="239">
        <v>0</v>
      </c>
      <c r="AH27" s="239">
        <v>0</v>
      </c>
      <c r="AI27" s="239">
        <v>0</v>
      </c>
      <c r="AJ27" s="239">
        <v>0</v>
      </c>
      <c r="AK27" s="247"/>
      <c r="AL27" s="247"/>
      <c r="AM27" s="248"/>
    </row>
    <row r="28" spans="1:39" ht="24.95" customHeight="1" thickTop="1" x14ac:dyDescent="0.35">
      <c r="AJ28" s="219"/>
    </row>
    <row r="29" spans="1:39" ht="24.95" customHeight="1" x14ac:dyDescent="0.35">
      <c r="AJ29" s="219"/>
    </row>
    <row r="30" spans="1:39" ht="20.100000000000001" customHeight="1" x14ac:dyDescent="0.35">
      <c r="AJ30" s="220" t="s">
        <v>261</v>
      </c>
      <c r="AK30" s="221">
        <f>MAX(AK2:AK27)</f>
        <v>1.026767436464089E-2</v>
      </c>
      <c r="AL30" s="221">
        <f>MAX(AL2:AL27)</f>
        <v>0.12319859116022105</v>
      </c>
      <c r="AM30" s="221">
        <f>MAX(AM2:AM27)</f>
        <v>0.24476550000000005</v>
      </c>
    </row>
    <row r="31" spans="1:39" ht="20.100000000000001" customHeight="1" x14ac:dyDescent="0.35">
      <c r="AJ31" s="220" t="s">
        <v>262</v>
      </c>
      <c r="AK31" s="221">
        <f>MIN(AK2:AK27)</f>
        <v>-1.6280935155279464E-3</v>
      </c>
      <c r="AL31" s="221">
        <f>MIN(AL2:AL27)</f>
        <v>-1.9534981366459578E-2</v>
      </c>
      <c r="AM31" s="221">
        <f>MIN(AM2:AM27)</f>
        <v>-2.5850399999999937E-2</v>
      </c>
    </row>
    <row r="32" spans="1:39" ht="20.100000000000001" customHeight="1" x14ac:dyDescent="0.35">
      <c r="A32" s="34"/>
      <c r="B32" s="34"/>
      <c r="AJ32" s="220" t="s">
        <v>263</v>
      </c>
      <c r="AK32" s="221">
        <f>AVERAGE(AK2:AK27)</f>
        <v>4.8495439721637657E-3</v>
      </c>
      <c r="AL32" s="221">
        <f t="shared" ref="AL32:AM32" si="0">AVERAGE(AL2:AL27)</f>
        <v>5.8188150882306867E-2</v>
      </c>
      <c r="AM32" s="221">
        <f t="shared" si="0"/>
        <v>4.8535462900499808E-2</v>
      </c>
    </row>
    <row r="33" ht="20.100000000000001" customHeight="1" x14ac:dyDescent="0.35"/>
    <row r="34" ht="20.100000000000001" customHeight="1" x14ac:dyDescent="0.35"/>
    <row r="35" ht="20.100000000000001" customHeight="1" x14ac:dyDescent="0.35"/>
    <row r="36" ht="20.100000000000001" customHeight="1" x14ac:dyDescent="0.35"/>
    <row r="37" ht="20.100000000000001" customHeight="1" x14ac:dyDescent="0.35"/>
    <row r="38" ht="20.100000000000001" customHeight="1" x14ac:dyDescent="0.35"/>
    <row r="39" ht="20.100000000000001" customHeight="1" x14ac:dyDescent="0.35"/>
    <row r="40" ht="20.100000000000001" customHeight="1" x14ac:dyDescent="0.35"/>
    <row r="41" ht="20.100000000000001" customHeight="1" x14ac:dyDescent="0.35"/>
    <row r="42" ht="20.100000000000001" customHeight="1" x14ac:dyDescent="0.35"/>
    <row r="43" ht="20.100000000000001" customHeight="1" x14ac:dyDescent="0.35"/>
    <row r="44" ht="20.100000000000001" customHeight="1" x14ac:dyDescent="0.35"/>
    <row r="45" ht="20.100000000000001" customHeight="1" x14ac:dyDescent="0.35"/>
    <row r="46" ht="20.100000000000001" customHeight="1" x14ac:dyDescent="0.35"/>
    <row r="47" ht="20.100000000000001" customHeight="1" x14ac:dyDescent="0.35"/>
    <row r="48" ht="20.100000000000001" customHeight="1" x14ac:dyDescent="0.35"/>
    <row r="49" ht="20.100000000000001" customHeight="1" x14ac:dyDescent="0.35"/>
    <row r="50" ht="20.100000000000001" customHeight="1" x14ac:dyDescent="0.35"/>
    <row r="51" ht="20.100000000000001" customHeight="1" x14ac:dyDescent="0.35"/>
    <row r="52" ht="20.100000000000001" customHeight="1" x14ac:dyDescent="0.35"/>
    <row r="53" ht="20.100000000000001" customHeight="1" x14ac:dyDescent="0.35"/>
    <row r="54" ht="20.100000000000001" customHeight="1" x14ac:dyDescent="0.35"/>
    <row r="55" ht="20.100000000000001" customHeight="1" x14ac:dyDescent="0.35"/>
    <row r="56" ht="20.100000000000001" customHeight="1" x14ac:dyDescent="0.35"/>
    <row r="57" ht="20.100000000000001" customHeight="1" x14ac:dyDescent="0.35"/>
    <row r="58" ht="20.100000000000001" customHeight="1" x14ac:dyDescent="0.35"/>
    <row r="59" ht="20.100000000000001" customHeight="1" x14ac:dyDescent="0.35"/>
    <row r="60" ht="20.100000000000001" customHeight="1" x14ac:dyDescent="0.35"/>
    <row r="61" ht="20.100000000000001" customHeight="1" x14ac:dyDescent="0.35"/>
    <row r="62" ht="20.100000000000001" customHeight="1" x14ac:dyDescent="0.35"/>
    <row r="63" ht="20.100000000000001" customHeight="1" x14ac:dyDescent="0.35"/>
    <row r="64" ht="20.100000000000001" customHeight="1" x14ac:dyDescent="0.35"/>
    <row r="65" ht="20.100000000000001" customHeight="1" x14ac:dyDescent="0.35"/>
    <row r="66" ht="20.100000000000001" customHeight="1" x14ac:dyDescent="0.35"/>
    <row r="67" ht="20.100000000000001" customHeight="1" x14ac:dyDescent="0.35"/>
    <row r="68" ht="20.100000000000001" customHeight="1" x14ac:dyDescent="0.35"/>
    <row r="69" ht="20.100000000000001" customHeight="1" x14ac:dyDescent="0.35"/>
  </sheetData>
  <autoFilter ref="A1:AM4" xr:uid="{B87AA07C-7AA2-42E9-B872-A0642407629E}">
    <sortState xmlns:xlrd2="http://schemas.microsoft.com/office/spreadsheetml/2017/richdata2" ref="A2:AM27">
      <sortCondition ref="AM1:AM4"/>
    </sortState>
  </autoFilter>
  <dataConsolidate>
    <dataRefs count="1">
      <dataRef ref="F5:F61" sheet="VALORES MENSAIS" r:id="rId1"/>
    </dataRefs>
  </dataConsolidate>
  <conditionalFormatting sqref="AJ28:AJ29 Q2:AM27">
    <cfRule type="cellIs" dxfId="8" priority="4" operator="equal">
      <formula>0</formula>
    </cfRule>
  </conditionalFormatting>
  <conditionalFormatting sqref="AJ28:AJ29 A2:AM27">
    <cfRule type="expression" dxfId="7" priority="3">
      <formula>"MOD(LIGNE(),2)=0"</formula>
    </cfRule>
  </conditionalFormatting>
  <conditionalFormatting sqref="AJ28:AJ29 F2:AM27">
    <cfRule type="cellIs" dxfId="6" priority="2" operator="greaterThan">
      <formula>0</formula>
    </cfRule>
  </conditionalFormatting>
  <conditionalFormatting sqref="AJ28:AJ29 F2:AM27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66750-3F1E-47FE-A65B-ACF6ACA2FA88}">
  <sheetPr codeName="Feuil10">
    <tabColor theme="4"/>
  </sheetPr>
  <dimension ref="A1:L24"/>
  <sheetViews>
    <sheetView topLeftCell="G1" zoomScale="120" zoomScaleNormal="120" workbookViewId="0">
      <pane ySplit="1" topLeftCell="A2" activePane="bottomLeft" state="frozen"/>
      <selection pane="bottomLeft" activeCell="J9" sqref="J9"/>
    </sheetView>
  </sheetViews>
  <sheetFormatPr baseColWidth="10" defaultColWidth="11.3828125" defaultRowHeight="11.65" x14ac:dyDescent="0.35"/>
  <cols>
    <col min="1" max="1" width="40.3046875" customWidth="1"/>
    <col min="2" max="3" width="40.69140625" customWidth="1"/>
    <col min="4" max="5" width="50.69140625" customWidth="1"/>
    <col min="6" max="6" width="66.3046875" customWidth="1"/>
    <col min="7" max="7" width="40.69140625" customWidth="1"/>
    <col min="8" max="8" width="62.3046875" customWidth="1"/>
    <col min="9" max="10" width="44.3046875" customWidth="1"/>
    <col min="11" max="11" width="44.15234375" customWidth="1"/>
    <col min="12" max="12" width="35.69140625" customWidth="1"/>
  </cols>
  <sheetData>
    <row r="1" spans="1:12" ht="35.1" customHeight="1" thickTop="1" x14ac:dyDescent="0.35">
      <c r="A1" s="104" t="s">
        <v>148</v>
      </c>
      <c r="B1" s="104" t="s">
        <v>129</v>
      </c>
      <c r="C1" s="104" t="s">
        <v>208</v>
      </c>
      <c r="D1" s="104" t="s">
        <v>305</v>
      </c>
      <c r="E1" s="79" t="s">
        <v>306</v>
      </c>
      <c r="F1" s="104" t="s">
        <v>162</v>
      </c>
      <c r="G1" s="104" t="s">
        <v>117</v>
      </c>
      <c r="H1" s="104" t="s">
        <v>118</v>
      </c>
      <c r="I1" s="104" t="s">
        <v>308</v>
      </c>
      <c r="J1" s="79" t="s">
        <v>242</v>
      </c>
      <c r="K1" s="104" t="s">
        <v>307</v>
      </c>
      <c r="L1" s="105" t="s">
        <v>105</v>
      </c>
    </row>
    <row r="2" spans="1:12" ht="35.1" customHeight="1" x14ac:dyDescent="0.35">
      <c r="A2" s="106" t="s">
        <v>303</v>
      </c>
      <c r="B2" s="106" t="s">
        <v>244</v>
      </c>
      <c r="C2" s="106" t="s">
        <v>229</v>
      </c>
      <c r="D2" s="106" t="s">
        <v>73</v>
      </c>
      <c r="E2" s="106" t="s">
        <v>197</v>
      </c>
      <c r="F2" s="106" t="s">
        <v>292</v>
      </c>
      <c r="G2" s="106" t="s">
        <v>245</v>
      </c>
      <c r="H2" s="106" t="s">
        <v>241</v>
      </c>
      <c r="I2" s="106" t="s">
        <v>196</v>
      </c>
      <c r="J2" s="106" t="s">
        <v>310</v>
      </c>
      <c r="K2" s="106" t="s">
        <v>143</v>
      </c>
      <c r="L2" s="107" t="s">
        <v>106</v>
      </c>
    </row>
    <row r="3" spans="1:12" ht="35.1" customHeight="1" x14ac:dyDescent="0.35">
      <c r="A3" s="108" t="s">
        <v>219</v>
      </c>
      <c r="B3" s="108" t="s">
        <v>243</v>
      </c>
      <c r="C3" s="108"/>
      <c r="D3" s="108" t="s">
        <v>72</v>
      </c>
      <c r="E3" s="108"/>
      <c r="F3" s="108"/>
      <c r="G3" s="108" t="s">
        <v>281</v>
      </c>
      <c r="H3" s="108" t="s">
        <v>236</v>
      </c>
      <c r="I3" s="108" t="s">
        <v>122</v>
      </c>
      <c r="K3" s="108" t="s">
        <v>161</v>
      </c>
      <c r="L3" s="109" t="s">
        <v>107</v>
      </c>
    </row>
    <row r="4" spans="1:12" ht="35.1" customHeight="1" x14ac:dyDescent="0.35">
      <c r="A4" s="106" t="s">
        <v>226</v>
      </c>
      <c r="B4" s="106" t="s">
        <v>283</v>
      </c>
      <c r="C4" s="106"/>
      <c r="D4" s="106" t="s">
        <v>160</v>
      </c>
      <c r="E4" s="106"/>
      <c r="F4" s="106"/>
      <c r="G4" s="106"/>
      <c r="H4" s="106" t="s">
        <v>222</v>
      </c>
      <c r="I4" s="106" t="s">
        <v>309</v>
      </c>
      <c r="J4" s="108"/>
      <c r="K4" s="106" t="s">
        <v>144</v>
      </c>
      <c r="L4" s="107" t="s">
        <v>108</v>
      </c>
    </row>
    <row r="5" spans="1:12" ht="35.1" customHeight="1" x14ac:dyDescent="0.35">
      <c r="A5" s="108" t="s">
        <v>225</v>
      </c>
      <c r="B5" s="323" t="s">
        <v>285</v>
      </c>
      <c r="C5" s="108"/>
      <c r="D5" s="108"/>
      <c r="E5" s="108"/>
      <c r="F5" s="108"/>
      <c r="G5" s="108"/>
      <c r="H5" s="108" t="s">
        <v>234</v>
      </c>
      <c r="I5" s="108"/>
      <c r="J5" s="108"/>
      <c r="K5" s="108" t="s">
        <v>135</v>
      </c>
      <c r="L5" s="109" t="s">
        <v>109</v>
      </c>
    </row>
    <row r="6" spans="1:12" ht="35.1" customHeight="1" x14ac:dyDescent="0.35">
      <c r="A6" s="106" t="s">
        <v>282</v>
      </c>
      <c r="B6" s="324" t="s">
        <v>289</v>
      </c>
      <c r="C6" s="106"/>
      <c r="D6" s="106"/>
      <c r="E6" s="106"/>
      <c r="F6" s="106"/>
      <c r="G6" s="106"/>
      <c r="H6" s="106" t="s">
        <v>221</v>
      </c>
      <c r="I6" s="106"/>
      <c r="J6" s="106"/>
      <c r="K6" s="106" t="s">
        <v>134</v>
      </c>
      <c r="L6" s="107" t="s">
        <v>47</v>
      </c>
    </row>
    <row r="7" spans="1:12" ht="35.1" customHeight="1" x14ac:dyDescent="0.35">
      <c r="A7" s="108"/>
      <c r="B7" s="322"/>
      <c r="C7" s="108"/>
      <c r="D7" s="110"/>
      <c r="E7" s="110"/>
      <c r="F7" s="110"/>
      <c r="G7" s="108"/>
      <c r="H7" s="108" t="s">
        <v>224</v>
      </c>
      <c r="I7" s="110"/>
      <c r="J7" s="110"/>
      <c r="K7" s="108" t="s">
        <v>145</v>
      </c>
      <c r="L7" s="109" t="s">
        <v>110</v>
      </c>
    </row>
    <row r="8" spans="1:12" ht="35.1" customHeight="1" x14ac:dyDescent="0.35">
      <c r="A8" s="106"/>
      <c r="B8" s="106"/>
      <c r="C8" s="106"/>
      <c r="D8" s="111"/>
      <c r="E8" s="111"/>
      <c r="F8" s="111"/>
      <c r="G8" s="106"/>
      <c r="H8" s="106" t="s">
        <v>237</v>
      </c>
      <c r="I8" s="111"/>
      <c r="J8" s="111"/>
      <c r="K8" s="106" t="s">
        <v>151</v>
      </c>
      <c r="L8" s="107" t="s">
        <v>111</v>
      </c>
    </row>
    <row r="9" spans="1:12" ht="35.1" customHeight="1" x14ac:dyDescent="0.35">
      <c r="A9" s="108"/>
      <c r="B9" s="322"/>
      <c r="C9" s="108"/>
      <c r="D9" s="110"/>
      <c r="E9" s="110"/>
      <c r="F9" s="110"/>
      <c r="G9" s="108"/>
      <c r="H9" s="108" t="s">
        <v>214</v>
      </c>
      <c r="I9" s="110"/>
      <c r="J9" s="110"/>
      <c r="K9" s="108" t="s">
        <v>133</v>
      </c>
      <c r="L9" s="109" t="s">
        <v>112</v>
      </c>
    </row>
    <row r="10" spans="1:12" ht="35.1" customHeight="1" x14ac:dyDescent="0.35">
      <c r="A10" s="106"/>
      <c r="B10" s="321"/>
      <c r="C10" s="106"/>
      <c r="D10" s="111"/>
      <c r="E10" s="111"/>
      <c r="F10" s="111"/>
      <c r="G10" s="106"/>
      <c r="H10" s="106" t="s">
        <v>213</v>
      </c>
      <c r="I10" s="111"/>
      <c r="J10" s="111"/>
      <c r="K10" s="106" t="s">
        <v>211</v>
      </c>
      <c r="L10" s="107" t="s">
        <v>113</v>
      </c>
    </row>
    <row r="11" spans="1:12" ht="35.1" customHeight="1" x14ac:dyDescent="0.35">
      <c r="A11" s="108"/>
      <c r="B11" s="108"/>
      <c r="C11" s="108"/>
      <c r="D11" s="110"/>
      <c r="E11" s="110"/>
      <c r="F11" s="110"/>
      <c r="G11" s="110"/>
      <c r="H11" s="108" t="s">
        <v>223</v>
      </c>
      <c r="I11" s="110"/>
      <c r="J11" s="110"/>
      <c r="K11" s="108" t="s">
        <v>192</v>
      </c>
      <c r="L11" s="109" t="s">
        <v>114</v>
      </c>
    </row>
    <row r="12" spans="1:12" ht="35.1" customHeight="1" x14ac:dyDescent="0.35">
      <c r="A12" s="106"/>
      <c r="B12" s="106"/>
      <c r="C12" s="106"/>
      <c r="D12" s="111"/>
      <c r="E12" s="111"/>
      <c r="F12" s="111"/>
      <c r="G12" s="106"/>
      <c r="H12" s="106" t="s">
        <v>280</v>
      </c>
      <c r="I12" s="111"/>
      <c r="J12" s="111"/>
      <c r="K12" s="106" t="s">
        <v>130</v>
      </c>
      <c r="L12" s="107" t="s">
        <v>115</v>
      </c>
    </row>
    <row r="13" spans="1:12" ht="35.1" customHeight="1" x14ac:dyDescent="0.35">
      <c r="A13" s="108"/>
      <c r="B13" s="110"/>
      <c r="C13" s="110"/>
      <c r="D13" s="110"/>
      <c r="E13" s="110"/>
      <c r="F13" s="110"/>
      <c r="G13" s="108"/>
      <c r="H13" s="108" t="s">
        <v>212</v>
      </c>
      <c r="I13" s="110"/>
      <c r="J13" s="110"/>
      <c r="K13" s="108" t="s">
        <v>141</v>
      </c>
      <c r="L13" s="109" t="s">
        <v>116</v>
      </c>
    </row>
    <row r="14" spans="1:12" ht="35.1" customHeight="1" x14ac:dyDescent="0.35">
      <c r="A14" s="106"/>
      <c r="B14" s="111"/>
      <c r="C14" s="111"/>
      <c r="D14" s="111"/>
      <c r="E14" s="111"/>
      <c r="F14" s="111"/>
      <c r="G14" s="106"/>
      <c r="H14" s="121"/>
      <c r="I14" s="111"/>
      <c r="J14" s="111"/>
      <c r="K14" s="106" t="s">
        <v>201</v>
      </c>
      <c r="L14" s="112"/>
    </row>
    <row r="15" spans="1:12" ht="35.1" customHeight="1" x14ac:dyDescent="0.35">
      <c r="A15" s="108"/>
      <c r="B15" s="110"/>
      <c r="C15" s="110"/>
      <c r="D15" s="110"/>
      <c r="E15" s="110"/>
      <c r="F15" s="110"/>
      <c r="G15" s="110"/>
      <c r="H15" s="122"/>
      <c r="I15" s="110"/>
      <c r="J15" s="110"/>
      <c r="K15" s="108" t="s">
        <v>132</v>
      </c>
      <c r="L15" s="113"/>
    </row>
    <row r="16" spans="1:12" ht="35.1" customHeight="1" x14ac:dyDescent="0.35">
      <c r="A16" s="111"/>
      <c r="B16" s="111"/>
      <c r="C16" s="111"/>
      <c r="D16" s="111"/>
      <c r="E16" s="111"/>
      <c r="F16" s="111"/>
      <c r="G16" s="111"/>
      <c r="H16" s="121"/>
      <c r="I16" s="111"/>
      <c r="J16" s="111"/>
      <c r="K16" s="106" t="s">
        <v>209</v>
      </c>
      <c r="L16" s="112"/>
    </row>
    <row r="17" spans="1:12" ht="35.1" customHeight="1" x14ac:dyDescent="0.35">
      <c r="A17" s="108"/>
      <c r="B17" s="110"/>
      <c r="C17" s="110"/>
      <c r="D17" s="110"/>
      <c r="E17" s="110"/>
      <c r="F17" s="110"/>
      <c r="G17" s="110"/>
      <c r="H17" s="122"/>
      <c r="I17" s="110"/>
      <c r="J17" s="110"/>
      <c r="K17" s="108" t="s">
        <v>210</v>
      </c>
      <c r="L17" s="113"/>
    </row>
    <row r="18" spans="1:12" ht="35.1" customHeight="1" x14ac:dyDescent="0.35">
      <c r="A18" s="106"/>
      <c r="B18" s="111"/>
      <c r="C18" s="111"/>
      <c r="D18" s="111"/>
      <c r="E18" s="111"/>
      <c r="F18" s="111"/>
      <c r="G18" s="111"/>
      <c r="H18" s="121"/>
      <c r="I18" s="111"/>
      <c r="J18" s="111"/>
      <c r="K18" s="106" t="s">
        <v>136</v>
      </c>
      <c r="L18" s="112"/>
    </row>
    <row r="19" spans="1:12" ht="35.1" customHeight="1" x14ac:dyDescent="0.35">
      <c r="A19" s="108"/>
      <c r="B19" s="110"/>
      <c r="C19" s="110"/>
      <c r="D19" s="110"/>
      <c r="E19" s="110"/>
      <c r="F19" s="110"/>
      <c r="G19" s="110"/>
      <c r="H19" s="122"/>
      <c r="I19" s="110"/>
      <c r="J19" s="110"/>
      <c r="K19" s="108" t="s">
        <v>131</v>
      </c>
      <c r="L19" s="113"/>
    </row>
    <row r="20" spans="1:12" ht="35.1" customHeight="1" x14ac:dyDescent="0.35">
      <c r="A20" s="106"/>
      <c r="B20" s="111"/>
      <c r="C20" s="111"/>
      <c r="D20" s="111"/>
      <c r="E20" s="111"/>
      <c r="F20" s="111"/>
      <c r="G20" s="111"/>
      <c r="H20" s="121"/>
      <c r="I20" s="111"/>
      <c r="J20" s="111"/>
      <c r="K20" s="106" t="s">
        <v>149</v>
      </c>
      <c r="L20" s="112"/>
    </row>
    <row r="21" spans="1:12" ht="35.1" customHeight="1" x14ac:dyDescent="0.35">
      <c r="A21" s="110"/>
      <c r="B21" s="110"/>
      <c r="C21" s="110"/>
      <c r="D21" s="110"/>
      <c r="E21" s="110"/>
      <c r="F21" s="110"/>
      <c r="G21" s="110"/>
      <c r="H21" s="122"/>
      <c r="I21" s="110"/>
      <c r="J21" s="110"/>
      <c r="K21" s="108" t="s">
        <v>150</v>
      </c>
      <c r="L21" s="113"/>
    </row>
    <row r="22" spans="1:12" ht="35.1" customHeight="1" x14ac:dyDescent="0.35">
      <c r="A22" s="111"/>
      <c r="B22" s="111"/>
      <c r="C22" s="111"/>
      <c r="D22" s="111"/>
      <c r="E22" s="111"/>
      <c r="F22" s="111"/>
      <c r="G22" s="111"/>
      <c r="H22" s="121"/>
      <c r="I22" s="111"/>
      <c r="J22" s="111"/>
      <c r="K22" s="106"/>
      <c r="L22" s="112"/>
    </row>
    <row r="23" spans="1:12" ht="35.1" customHeight="1" thickBot="1" x14ac:dyDescent="0.4">
      <c r="A23" s="115"/>
      <c r="B23" s="115"/>
      <c r="C23" s="115"/>
      <c r="D23" s="115"/>
      <c r="E23" s="115"/>
      <c r="F23" s="115"/>
      <c r="G23" s="115"/>
      <c r="H23" s="123"/>
      <c r="I23" s="115"/>
      <c r="J23" s="115"/>
      <c r="K23" s="114"/>
      <c r="L23" s="116"/>
    </row>
    <row r="24" spans="1:12" ht="12" thickTop="1" x14ac:dyDescent="0.35">
      <c r="A24" s="77"/>
      <c r="B24" s="77"/>
      <c r="C24" s="77"/>
      <c r="D24" s="77"/>
      <c r="E24" s="77"/>
      <c r="F24" s="77"/>
      <c r="G24" s="77"/>
      <c r="H24" s="77"/>
      <c r="I24" s="77"/>
      <c r="J24" s="77"/>
      <c r="K24" s="77"/>
      <c r="L24" s="77"/>
    </row>
  </sheetData>
  <sortState xmlns:xlrd2="http://schemas.microsoft.com/office/spreadsheetml/2017/richdata2" ref="K2:K21">
    <sortCondition ref="K1:K21"/>
  </sortState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A2674-270C-E640-840E-6A813CC62E96}">
  <sheetPr codeName="Feuil3">
    <tabColor theme="9"/>
  </sheetPr>
  <dimension ref="A2:O8"/>
  <sheetViews>
    <sheetView zoomScale="190" zoomScaleNormal="1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16" sqref="C16"/>
    </sheetView>
  </sheetViews>
  <sheetFormatPr baseColWidth="10" defaultColWidth="11.3828125" defaultRowHeight="11.65" x14ac:dyDescent="0.35"/>
  <cols>
    <col min="1" max="1" width="26.3828125" bestFit="1" customWidth="1"/>
    <col min="2" max="2" width="14.3828125" bestFit="1" customWidth="1"/>
    <col min="3" max="3" width="29.765625" bestFit="1" customWidth="1"/>
    <col min="4" max="4" width="30.84375" bestFit="1" customWidth="1"/>
    <col min="5" max="6" width="25.15234375" bestFit="1" customWidth="1"/>
    <col min="7" max="10" width="13.53515625" bestFit="1" customWidth="1"/>
    <col min="11" max="11" width="31.84375" bestFit="1" customWidth="1"/>
    <col min="12" max="16" width="13.53515625" bestFit="1" customWidth="1"/>
    <col min="17" max="17" width="31.84375" bestFit="1" customWidth="1"/>
  </cols>
  <sheetData>
    <row r="2" spans="1:15" x14ac:dyDescent="0.35">
      <c r="A2" s="32"/>
      <c r="B2" s="32"/>
      <c r="C2" s="29"/>
      <c r="D2" s="29"/>
      <c r="E2" s="29"/>
      <c r="F2" s="29"/>
      <c r="G2" s="29" t="s">
        <v>146</v>
      </c>
      <c r="H2" s="29"/>
      <c r="I2" s="29" t="s">
        <v>146</v>
      </c>
      <c r="J2" s="29"/>
      <c r="K2" s="29" t="s">
        <v>146</v>
      </c>
      <c r="L2" s="29"/>
      <c r="M2" s="29" t="s">
        <v>146</v>
      </c>
      <c r="O2" s="29" t="s">
        <v>146</v>
      </c>
    </row>
    <row r="3" spans="1:15" ht="34.9" customHeight="1" x14ac:dyDescent="0.35">
      <c r="A3" s="307" t="s">
        <v>202</v>
      </c>
      <c r="B3" s="308" t="s">
        <v>7</v>
      </c>
      <c r="C3" s="235" t="s">
        <v>299</v>
      </c>
      <c r="D3" s="70" t="s">
        <v>300</v>
      </c>
    </row>
    <row r="4" spans="1:15" x14ac:dyDescent="0.35">
      <c r="A4" s="6" t="s">
        <v>96</v>
      </c>
      <c r="B4" s="234">
        <v>5</v>
      </c>
      <c r="C4" s="233">
        <v>37986.57</v>
      </c>
      <c r="D4" s="223">
        <v>37825.329999999994</v>
      </c>
    </row>
    <row r="5" spans="1:15" x14ac:dyDescent="0.35">
      <c r="A5" s="6" t="s">
        <v>94</v>
      </c>
      <c r="B5" s="234">
        <v>26</v>
      </c>
      <c r="C5" s="233">
        <v>200828.97000000003</v>
      </c>
      <c r="D5" s="223">
        <v>197360.3</v>
      </c>
    </row>
    <row r="6" spans="1:15" x14ac:dyDescent="0.35">
      <c r="A6" s="6" t="s">
        <v>1</v>
      </c>
      <c r="B6" s="234">
        <v>11</v>
      </c>
      <c r="C6" s="233">
        <v>140243.81</v>
      </c>
      <c r="D6" s="223">
        <v>139400.40000000002</v>
      </c>
    </row>
    <row r="7" spans="1:15" x14ac:dyDescent="0.35">
      <c r="A7" s="6" t="s">
        <v>95</v>
      </c>
      <c r="B7" s="234">
        <v>4</v>
      </c>
      <c r="C7" s="233">
        <v>21296.010000000002</v>
      </c>
      <c r="D7" s="223">
        <v>21296.010000000002</v>
      </c>
    </row>
    <row r="8" spans="1:15" x14ac:dyDescent="0.35">
      <c r="A8" s="5" t="s">
        <v>5</v>
      </c>
      <c r="B8" s="309">
        <v>46</v>
      </c>
      <c r="C8" s="309">
        <v>400355.35999999993</v>
      </c>
      <c r="D8" s="310">
        <v>395882.04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A9049-9A91-B749-BA63-F953F36D0A39}">
  <sheetPr codeName="Feuil2">
    <tabColor theme="8"/>
  </sheetPr>
  <dimension ref="A3:E14"/>
  <sheetViews>
    <sheetView zoomScale="230" zoomScaleNormal="230" workbookViewId="0">
      <pane xSplit="1" ySplit="3" topLeftCell="C4" activePane="bottomRight" state="frozen"/>
      <selection pane="topRight" activeCell="B1" sqref="B1"/>
      <selection pane="bottomLeft" activeCell="A4" sqref="A4"/>
      <selection pane="bottomRight" activeCell="C8" sqref="C8"/>
    </sheetView>
  </sheetViews>
  <sheetFormatPr baseColWidth="10" defaultColWidth="11.3828125" defaultRowHeight="11.65" x14ac:dyDescent="0.35"/>
  <cols>
    <col min="1" max="1" width="27.765625" bestFit="1" customWidth="1"/>
    <col min="2" max="2" width="30.15234375" bestFit="1" customWidth="1"/>
    <col min="3" max="3" width="31.3046875" bestFit="1" customWidth="1"/>
    <col min="4" max="4" width="29.765625" bestFit="1" customWidth="1"/>
    <col min="5" max="5" width="30.84375" bestFit="1" customWidth="1"/>
    <col min="6" max="11" width="11.3046875" bestFit="1" customWidth="1"/>
    <col min="12" max="12" width="28.84375" bestFit="1" customWidth="1"/>
    <col min="13" max="14" width="11.3046875" bestFit="1" customWidth="1"/>
    <col min="15" max="15" width="12" bestFit="1" customWidth="1"/>
    <col min="16" max="17" width="23.84375" bestFit="1" customWidth="1"/>
    <col min="18" max="18" width="33.15234375" bestFit="1" customWidth="1"/>
  </cols>
  <sheetData>
    <row r="3" spans="1:5" x14ac:dyDescent="0.35">
      <c r="A3" s="224" t="s">
        <v>2</v>
      </c>
      <c r="B3" s="230" t="s">
        <v>293</v>
      </c>
      <c r="C3" s="230" t="s">
        <v>294</v>
      </c>
      <c r="D3" s="230" t="s">
        <v>299</v>
      </c>
      <c r="E3" s="225" t="s">
        <v>300</v>
      </c>
    </row>
    <row r="4" spans="1:5" x14ac:dyDescent="0.35">
      <c r="A4" s="229" t="s">
        <v>3</v>
      </c>
      <c r="B4" s="232">
        <v>105751.63</v>
      </c>
      <c r="C4" s="232">
        <v>102476.69</v>
      </c>
      <c r="D4" s="232">
        <v>106844.45000000001</v>
      </c>
      <c r="E4" s="228">
        <v>103375.78</v>
      </c>
    </row>
    <row r="5" spans="1:5" x14ac:dyDescent="0.35">
      <c r="A5" s="229" t="s">
        <v>6</v>
      </c>
      <c r="B5" s="232">
        <v>5868.31</v>
      </c>
      <c r="C5" s="232">
        <v>5868.31</v>
      </c>
      <c r="D5" s="232">
        <v>5953.38</v>
      </c>
      <c r="E5" s="228">
        <v>5953.38</v>
      </c>
    </row>
    <row r="6" spans="1:5" x14ac:dyDescent="0.35">
      <c r="A6" s="229" t="s">
        <v>8</v>
      </c>
      <c r="B6" s="232">
        <v>65216.22</v>
      </c>
      <c r="C6" s="232">
        <v>65216.22</v>
      </c>
      <c r="D6" s="232">
        <v>65649.78</v>
      </c>
      <c r="E6" s="228">
        <v>65649.78</v>
      </c>
    </row>
    <row r="7" spans="1:5" x14ac:dyDescent="0.35">
      <c r="A7" s="229" t="s">
        <v>9</v>
      </c>
      <c r="B7" s="232">
        <v>12010.39</v>
      </c>
      <c r="C7" s="232">
        <v>12010.39</v>
      </c>
      <c r="D7" s="232">
        <v>12124.04</v>
      </c>
      <c r="E7" s="228">
        <v>12124.04</v>
      </c>
    </row>
    <row r="8" spans="1:5" x14ac:dyDescent="0.35">
      <c r="A8" s="229" t="s">
        <v>1</v>
      </c>
      <c r="B8" s="232">
        <v>139775.51</v>
      </c>
      <c r="C8" s="232">
        <v>139001.72</v>
      </c>
      <c r="D8" s="232">
        <v>140243.81</v>
      </c>
      <c r="E8" s="228">
        <v>139400.40000000002</v>
      </c>
    </row>
    <row r="9" spans="1:5" x14ac:dyDescent="0.35">
      <c r="A9" s="229" t="s">
        <v>119</v>
      </c>
      <c r="B9" s="232">
        <v>1704.42</v>
      </c>
      <c r="C9" s="232">
        <v>1704.42</v>
      </c>
      <c r="D9" s="232">
        <v>1666.94</v>
      </c>
      <c r="E9" s="228">
        <v>1666.94</v>
      </c>
    </row>
    <row r="10" spans="1:5" x14ac:dyDescent="0.35">
      <c r="A10" s="229" t="s">
        <v>120</v>
      </c>
      <c r="B10" s="232">
        <v>5080.8</v>
      </c>
      <c r="C10" s="232">
        <v>5080.8</v>
      </c>
      <c r="D10" s="232">
        <v>5356.3</v>
      </c>
      <c r="E10" s="228">
        <v>5356.3</v>
      </c>
    </row>
    <row r="11" spans="1:5" x14ac:dyDescent="0.35">
      <c r="A11" s="229" t="s">
        <v>121</v>
      </c>
      <c r="B11" s="232">
        <v>14055.16</v>
      </c>
      <c r="C11" s="232">
        <v>14055.16</v>
      </c>
      <c r="D11" s="232">
        <v>14272.77</v>
      </c>
      <c r="E11" s="228">
        <v>14272.77</v>
      </c>
    </row>
    <row r="12" spans="1:5" x14ac:dyDescent="0.35">
      <c r="A12" s="229" t="s">
        <v>123</v>
      </c>
      <c r="B12" s="232">
        <v>10631.52</v>
      </c>
      <c r="C12" s="232">
        <v>10631.52</v>
      </c>
      <c r="D12" s="232">
        <v>10257.32</v>
      </c>
      <c r="E12" s="228">
        <v>10257.32</v>
      </c>
    </row>
    <row r="13" spans="1:5" x14ac:dyDescent="0.35">
      <c r="A13" s="229" t="s">
        <v>96</v>
      </c>
      <c r="B13" s="232">
        <v>47233.060000000005</v>
      </c>
      <c r="C13" s="232">
        <v>47098.78</v>
      </c>
      <c r="D13" s="232">
        <v>37986.57</v>
      </c>
      <c r="E13" s="228">
        <v>37825.329999999994</v>
      </c>
    </row>
    <row r="14" spans="1:5" x14ac:dyDescent="0.35">
      <c r="A14" s="226" t="s">
        <v>5</v>
      </c>
      <c r="B14" s="231">
        <v>407327.01999999996</v>
      </c>
      <c r="C14" s="231">
        <v>403144.00999999989</v>
      </c>
      <c r="D14" s="231">
        <v>400355.36000000004</v>
      </c>
      <c r="E14" s="227">
        <v>395882.04000000004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9D67-D1FF-414C-BF29-420848FD6507}">
  <sheetPr codeName="Feuil5">
    <tabColor rgb="FF9999FF"/>
  </sheetPr>
  <dimension ref="A3:A46"/>
  <sheetViews>
    <sheetView zoomScale="96" zoomScaleNormal="96" workbookViewId="0">
      <selection activeCell="F22" sqref="F22"/>
    </sheetView>
  </sheetViews>
  <sheetFormatPr baseColWidth="10" defaultColWidth="11.3828125" defaultRowHeight="11.65" x14ac:dyDescent="0.35"/>
  <cols>
    <col min="1" max="1" width="26.53515625" bestFit="1" customWidth="1"/>
    <col min="2" max="3" width="26.15234375" bestFit="1" customWidth="1"/>
  </cols>
  <sheetData>
    <row r="3" spans="1:1" ht="20.100000000000001" customHeight="1" x14ac:dyDescent="0.35">
      <c r="A3" s="30" t="s">
        <v>4</v>
      </c>
    </row>
    <row r="4" spans="1:1" ht="20.100000000000001" customHeight="1" x14ac:dyDescent="0.35">
      <c r="A4" s="71" t="s">
        <v>286</v>
      </c>
    </row>
    <row r="5" spans="1:1" ht="20.100000000000001" customHeight="1" x14ac:dyDescent="0.35">
      <c r="A5" s="33">
        <v>44980</v>
      </c>
    </row>
    <row r="6" spans="1:1" ht="20.100000000000001" customHeight="1" x14ac:dyDescent="0.35">
      <c r="A6" s="31">
        <v>44987</v>
      </c>
    </row>
    <row r="7" spans="1:1" ht="20.100000000000001" customHeight="1" x14ac:dyDescent="0.35">
      <c r="A7" s="31">
        <v>45001</v>
      </c>
    </row>
    <row r="8" spans="1:1" ht="20.100000000000001" customHeight="1" x14ac:dyDescent="0.35">
      <c r="A8" s="31">
        <v>45008</v>
      </c>
    </row>
    <row r="9" spans="1:1" ht="20.100000000000001" customHeight="1" x14ac:dyDescent="0.35">
      <c r="A9" s="31">
        <v>45015</v>
      </c>
    </row>
    <row r="10" spans="1:1" ht="20.100000000000001" customHeight="1" x14ac:dyDescent="0.35">
      <c r="A10" s="33">
        <v>45040</v>
      </c>
    </row>
    <row r="11" spans="1:1" ht="20.100000000000001" customHeight="1" x14ac:dyDescent="0.35">
      <c r="A11" s="31">
        <v>45051</v>
      </c>
    </row>
    <row r="12" spans="1:1" ht="20.100000000000001" customHeight="1" x14ac:dyDescent="0.35">
      <c r="A12" s="31">
        <v>45107</v>
      </c>
    </row>
    <row r="13" spans="1:1" ht="20.100000000000001" customHeight="1" x14ac:dyDescent="0.35">
      <c r="A13" s="33">
        <v>45155</v>
      </c>
    </row>
    <row r="14" spans="1:1" ht="20.100000000000001" customHeight="1" x14ac:dyDescent="0.35">
      <c r="A14" s="33">
        <v>45175</v>
      </c>
    </row>
    <row r="15" spans="1:1" ht="20.100000000000001" customHeight="1" x14ac:dyDescent="0.35">
      <c r="A15" s="33">
        <v>45187</v>
      </c>
    </row>
    <row r="16" spans="1:1" ht="20.100000000000001" customHeight="1" x14ac:dyDescent="0.35">
      <c r="A16" s="33">
        <v>45197</v>
      </c>
    </row>
    <row r="17" spans="1:1" ht="20.100000000000001" customHeight="1" x14ac:dyDescent="0.35">
      <c r="A17" s="31">
        <v>45372</v>
      </c>
    </row>
    <row r="18" spans="1:1" ht="20.100000000000001" customHeight="1" x14ac:dyDescent="0.35">
      <c r="A18" s="31">
        <v>45379</v>
      </c>
    </row>
    <row r="19" spans="1:1" ht="20.100000000000001" customHeight="1" x14ac:dyDescent="0.35">
      <c r="A19" s="31">
        <v>45383</v>
      </c>
    </row>
    <row r="20" spans="1:1" ht="20.100000000000001" customHeight="1" x14ac:dyDescent="0.35">
      <c r="A20" s="31">
        <v>45386</v>
      </c>
    </row>
    <row r="21" spans="1:1" ht="20.100000000000001" customHeight="1" x14ac:dyDescent="0.35">
      <c r="A21" s="31">
        <v>45397</v>
      </c>
    </row>
    <row r="22" spans="1:1" ht="20.100000000000001" customHeight="1" x14ac:dyDescent="0.35">
      <c r="A22" s="31">
        <v>45414</v>
      </c>
    </row>
    <row r="23" spans="1:1" ht="20.100000000000001" customHeight="1" x14ac:dyDescent="0.35">
      <c r="A23" s="31">
        <v>45432</v>
      </c>
    </row>
    <row r="24" spans="1:1" ht="20.100000000000001" customHeight="1" x14ac:dyDescent="0.35">
      <c r="A24" s="33">
        <v>45483</v>
      </c>
    </row>
    <row r="25" spans="1:1" ht="20.100000000000001" customHeight="1" x14ac:dyDescent="0.35">
      <c r="A25" s="31">
        <v>45496</v>
      </c>
    </row>
    <row r="26" spans="1:1" ht="20.100000000000001" customHeight="1" x14ac:dyDescent="0.35">
      <c r="A26" s="31">
        <v>45545</v>
      </c>
    </row>
    <row r="27" spans="1:1" ht="20.100000000000001" customHeight="1" x14ac:dyDescent="0.35">
      <c r="A27" s="33">
        <v>45563</v>
      </c>
    </row>
    <row r="28" spans="1:1" ht="20.100000000000001" customHeight="1" x14ac:dyDescent="0.35">
      <c r="A28" s="31">
        <v>45587</v>
      </c>
    </row>
    <row r="29" spans="1:1" ht="20.100000000000001" customHeight="1" x14ac:dyDescent="0.35">
      <c r="A29" s="31">
        <v>45610</v>
      </c>
    </row>
    <row r="30" spans="1:1" ht="20.100000000000001" customHeight="1" x14ac:dyDescent="0.35">
      <c r="A30" s="33">
        <v>45618</v>
      </c>
    </row>
    <row r="31" spans="1:1" ht="20.100000000000001" customHeight="1" x14ac:dyDescent="0.35">
      <c r="A31" s="31">
        <v>45777</v>
      </c>
    </row>
    <row r="32" spans="1:1" ht="20.100000000000001" customHeight="1" x14ac:dyDescent="0.35">
      <c r="A32" s="31">
        <v>45917</v>
      </c>
    </row>
    <row r="33" spans="1:1" ht="20.100000000000001" customHeight="1" x14ac:dyDescent="0.35">
      <c r="A33" s="31">
        <v>45945</v>
      </c>
    </row>
    <row r="34" spans="1:1" ht="20.100000000000001" customHeight="1" x14ac:dyDescent="0.35">
      <c r="A34" s="31">
        <v>46084</v>
      </c>
    </row>
    <row r="35" spans="1:1" ht="20.100000000000001" customHeight="1" x14ac:dyDescent="0.35">
      <c r="A35" s="33">
        <v>46091</v>
      </c>
    </row>
    <row r="36" spans="1:1" ht="20.100000000000001" customHeight="1" x14ac:dyDescent="0.35">
      <c r="A36" s="31">
        <v>46111</v>
      </c>
    </row>
    <row r="37" spans="1:1" ht="20.100000000000001" customHeight="1" x14ac:dyDescent="0.35">
      <c r="A37" s="31">
        <v>46202</v>
      </c>
    </row>
    <row r="38" spans="1:1" ht="20.100000000000001" customHeight="1" x14ac:dyDescent="0.35">
      <c r="A38" s="31">
        <v>46343</v>
      </c>
    </row>
    <row r="39" spans="1:1" ht="20.100000000000001" customHeight="1" x14ac:dyDescent="0.35">
      <c r="A39" s="31">
        <v>46476</v>
      </c>
    </row>
    <row r="40" spans="1:1" ht="15.4" x14ac:dyDescent="0.35">
      <c r="A40" s="33">
        <v>47832</v>
      </c>
    </row>
    <row r="41" spans="1:1" ht="15.4" x14ac:dyDescent="0.35">
      <c r="A41" s="31">
        <v>47953</v>
      </c>
    </row>
    <row r="42" spans="1:1" ht="15.4" x14ac:dyDescent="0.35">
      <c r="A42" s="31">
        <v>48351</v>
      </c>
    </row>
    <row r="43" spans="1:1" ht="15.4" x14ac:dyDescent="0.35">
      <c r="A43" s="33">
        <v>48352</v>
      </c>
    </row>
    <row r="44" spans="1:1" ht="15.4" x14ac:dyDescent="0.35">
      <c r="A44" s="33">
        <v>48353</v>
      </c>
    </row>
    <row r="45" spans="1:1" ht="15.4" x14ac:dyDescent="0.35">
      <c r="A45" s="33">
        <v>48354</v>
      </c>
    </row>
    <row r="46" spans="1:1" ht="15.4" x14ac:dyDescent="0.35">
      <c r="A46" s="72" t="s">
        <v>5</v>
      </c>
    </row>
  </sheetData>
  <dataConsolidate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6F20-FA82-B24F-9621-967055684D43}">
  <sheetPr codeName="Feuil7">
    <tabColor theme="9"/>
  </sheetPr>
  <dimension ref="A1:N22"/>
  <sheetViews>
    <sheetView zoomScale="98" zoomScaleNormal="98" workbookViewId="0">
      <pane xSplit="1" ySplit="1" topLeftCell="B2" activePane="bottomRight" state="frozen"/>
      <selection pane="topRight" activeCell="B1" sqref="B1"/>
      <selection pane="bottomLeft" activeCell="A5" sqref="A5"/>
      <selection pane="bottomRight" activeCell="B18" sqref="B18"/>
    </sheetView>
  </sheetViews>
  <sheetFormatPr baseColWidth="10" defaultColWidth="11" defaultRowHeight="13.5" x14ac:dyDescent="0.35"/>
  <cols>
    <col min="1" max="1" width="34.53515625" style="2" bestFit="1" customWidth="1"/>
    <col min="2" max="2" width="16" style="2" customWidth="1"/>
    <col min="3" max="4" width="14" style="2" customWidth="1"/>
    <col min="5" max="5" width="17" style="2" customWidth="1"/>
    <col min="6" max="6" width="16.53515625" style="2" customWidth="1"/>
    <col min="7" max="8" width="11" style="2"/>
    <col min="9" max="9" width="14" style="2" customWidth="1"/>
    <col min="10" max="10" width="13.84375" style="2" customWidth="1"/>
    <col min="11" max="11" width="13.3828125" style="2" customWidth="1"/>
    <col min="12" max="13" width="14.53515625" style="2" customWidth="1"/>
    <col min="14" max="14" width="14.84375" style="2" bestFit="1" customWidth="1"/>
    <col min="15" max="16384" width="11" style="2"/>
  </cols>
  <sheetData>
    <row r="1" spans="1:14" ht="25.15" customHeight="1" x14ac:dyDescent="0.35">
      <c r="A1" s="41" t="s">
        <v>325</v>
      </c>
      <c r="B1" s="42" t="s">
        <v>18</v>
      </c>
      <c r="C1" s="42" t="s">
        <v>19</v>
      </c>
      <c r="D1" s="42" t="s">
        <v>32</v>
      </c>
      <c r="E1" s="42" t="s">
        <v>33</v>
      </c>
      <c r="F1" s="42" t="s">
        <v>34</v>
      </c>
      <c r="G1" s="42" t="s">
        <v>35</v>
      </c>
      <c r="H1" s="42" t="s">
        <v>36</v>
      </c>
      <c r="I1" s="42" t="s">
        <v>37</v>
      </c>
      <c r="J1" s="42" t="s">
        <v>38</v>
      </c>
      <c r="K1" s="42" t="s">
        <v>39</v>
      </c>
      <c r="L1" s="42" t="s">
        <v>40</v>
      </c>
      <c r="M1" s="43" t="s">
        <v>41</v>
      </c>
      <c r="N1" s="42" t="s">
        <v>142</v>
      </c>
    </row>
    <row r="2" spans="1:14" ht="25.15" customHeight="1" x14ac:dyDescent="0.35">
      <c r="A2" s="44" t="s">
        <v>21</v>
      </c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6"/>
      <c r="N2" s="47"/>
    </row>
    <row r="3" spans="1:14" ht="25.15" customHeight="1" x14ac:dyDescent="0.35">
      <c r="A3" s="48" t="s">
        <v>22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50"/>
      <c r="N3" s="51"/>
    </row>
    <row r="4" spans="1:14" ht="25.15" customHeight="1" x14ac:dyDescent="0.35">
      <c r="A4" s="44" t="s">
        <v>20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3"/>
      <c r="N4" s="54"/>
    </row>
    <row r="5" spans="1:14" ht="25.15" customHeight="1" x14ac:dyDescent="0.35">
      <c r="A5" s="48" t="s">
        <v>23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6"/>
      <c r="N5" s="57"/>
    </row>
    <row r="6" spans="1:14" ht="25.15" customHeight="1" x14ac:dyDescent="0.35">
      <c r="A6" s="44" t="s">
        <v>24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4"/>
    </row>
    <row r="7" spans="1:14" ht="25.15" customHeight="1" x14ac:dyDescent="0.35">
      <c r="A7" s="48" t="s">
        <v>25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7"/>
    </row>
    <row r="8" spans="1:14" ht="25.15" customHeight="1" x14ac:dyDescent="0.35">
      <c r="A8" s="44" t="s">
        <v>26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3"/>
      <c r="N8" s="54"/>
    </row>
    <row r="9" spans="1:14" ht="25.15" customHeight="1" x14ac:dyDescent="0.35">
      <c r="A9" s="48" t="s">
        <v>27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7"/>
    </row>
    <row r="10" spans="1:14" ht="25.15" customHeight="1" x14ac:dyDescent="0.35">
      <c r="A10" s="44" t="s">
        <v>28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3"/>
      <c r="N10" s="54"/>
    </row>
    <row r="11" spans="1:14" ht="25.15" customHeight="1" x14ac:dyDescent="0.35">
      <c r="A11" s="48" t="s">
        <v>29</v>
      </c>
      <c r="B11" s="55"/>
      <c r="C11" s="55"/>
      <c r="D11" s="55"/>
      <c r="E11" s="55"/>
      <c r="F11" s="58"/>
      <c r="G11" s="55"/>
      <c r="H11" s="55"/>
      <c r="I11" s="55"/>
      <c r="J11" s="55"/>
      <c r="K11" s="55"/>
      <c r="L11" s="55"/>
      <c r="M11" s="56"/>
      <c r="N11" s="57"/>
    </row>
    <row r="12" spans="1:14" ht="25.15" customHeight="1" x14ac:dyDescent="0.35">
      <c r="A12" s="44" t="s">
        <v>14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3"/>
      <c r="N12" s="54"/>
    </row>
    <row r="13" spans="1:14" ht="25.15" customHeight="1" x14ac:dyDescent="0.35">
      <c r="A13" s="48" t="s">
        <v>30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6"/>
      <c r="N13" s="57"/>
    </row>
    <row r="14" spans="1:14" ht="25.15" customHeight="1" x14ac:dyDescent="0.35">
      <c r="A14" s="44" t="s">
        <v>42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4"/>
    </row>
    <row r="15" spans="1:14" ht="25.15" customHeight="1" x14ac:dyDescent="0.35">
      <c r="A15" s="48" t="s">
        <v>31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7"/>
    </row>
    <row r="16" spans="1:14" ht="20.100000000000001" customHeight="1" x14ac:dyDescent="0.3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7"/>
      <c r="N16" s="23"/>
    </row>
    <row r="17" spans="1:14" ht="9.9499999999999993" customHeight="1" thickBot="1" x14ac:dyDescent="0.4">
      <c r="A17" s="22"/>
      <c r="B17" s="19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6"/>
      <c r="N17" s="17"/>
    </row>
    <row r="18" spans="1:14" ht="20.100000000000001" customHeight="1" thickTop="1" x14ac:dyDescent="0.35">
      <c r="A18" s="10" t="s">
        <v>15</v>
      </c>
      <c r="B18" s="24">
        <f>MIN(B$15:M$15)</f>
        <v>0</v>
      </c>
      <c r="C18" s="14"/>
      <c r="D18" s="15"/>
      <c r="E18" s="15"/>
      <c r="F18" s="15"/>
      <c r="G18" s="15"/>
      <c r="H18" s="15"/>
      <c r="I18" s="15"/>
      <c r="J18" s="15"/>
      <c r="K18" s="15"/>
      <c r="L18" s="15"/>
      <c r="M18" s="16"/>
      <c r="N18" s="17"/>
    </row>
    <row r="19" spans="1:14" ht="20.100000000000001" customHeight="1" x14ac:dyDescent="0.35">
      <c r="A19" s="11" t="s">
        <v>16</v>
      </c>
      <c r="B19" s="25">
        <f>MAX(B$15:M$15)</f>
        <v>0</v>
      </c>
      <c r="C19" s="14"/>
      <c r="D19" s="15"/>
      <c r="E19" s="15"/>
      <c r="F19" s="15"/>
      <c r="G19" s="15"/>
      <c r="H19" s="15"/>
      <c r="I19" s="15"/>
      <c r="J19" s="15"/>
      <c r="K19" s="15"/>
      <c r="L19" s="15"/>
      <c r="M19" s="16"/>
      <c r="N19" s="17"/>
    </row>
    <row r="20" spans="1:14" ht="20.100000000000001" customHeight="1" x14ac:dyDescent="0.35">
      <c r="A20" s="12" t="s">
        <v>0</v>
      </c>
      <c r="B20" s="25">
        <f>SUM(B$15:M$15)</f>
        <v>0</v>
      </c>
      <c r="C20" s="14"/>
      <c r="D20" s="15"/>
      <c r="E20" s="15"/>
      <c r="F20" s="15"/>
      <c r="G20" s="15"/>
      <c r="H20" s="15"/>
      <c r="I20" s="15"/>
      <c r="J20" s="15"/>
      <c r="K20" s="15"/>
      <c r="L20" s="15"/>
      <c r="M20" s="16"/>
      <c r="N20" s="17"/>
    </row>
    <row r="21" spans="1:14" ht="20.100000000000001" customHeight="1" thickBot="1" x14ac:dyDescent="0.4">
      <c r="A21" s="13" t="s">
        <v>17</v>
      </c>
      <c r="B21" s="26" t="e">
        <f>AVERAGE(B$15:M$15)</f>
        <v>#DIV/0!</v>
      </c>
      <c r="C21" s="18"/>
      <c r="D21" s="19"/>
      <c r="E21" s="19"/>
      <c r="F21" s="19"/>
      <c r="G21" s="19"/>
      <c r="H21" s="19"/>
      <c r="I21" s="19"/>
      <c r="J21" s="19"/>
      <c r="K21" s="19"/>
      <c r="L21" s="19"/>
      <c r="M21" s="20"/>
      <c r="N21" s="21"/>
    </row>
    <row r="22" spans="1:14" ht="13.9" thickTop="1" x14ac:dyDescent="0.35"/>
  </sheetData>
  <conditionalFormatting sqref="B4:M4">
    <cfRule type="cellIs" dxfId="4" priority="1" operator="greaterThan">
      <formula>20000</formula>
    </cfRule>
  </conditionalFormatting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C4568-0E37-C149-9CCA-35645FFCA9F5}">
  <sheetPr codeName="Feuil8">
    <tabColor rgb="FFFFFF00"/>
  </sheetPr>
  <dimension ref="A1:Q35"/>
  <sheetViews>
    <sheetView zoomScale="96" zoomScaleNormal="96" workbookViewId="0">
      <pane xSplit="1" ySplit="1" topLeftCell="B11" activePane="bottomRight" state="frozen"/>
      <selection pane="topRight" activeCell="B1" sqref="B1"/>
      <selection pane="bottomLeft" activeCell="A2" sqref="A2"/>
      <selection pane="bottomRight" activeCell="R18" sqref="R18"/>
    </sheetView>
  </sheetViews>
  <sheetFormatPr baseColWidth="10" defaultColWidth="11" defaultRowHeight="13.5" x14ac:dyDescent="0.35"/>
  <cols>
    <col min="1" max="1" width="11" style="8"/>
    <col min="2" max="2" width="13.84375" style="8" customWidth="1"/>
    <col min="3" max="14" width="11" style="8"/>
    <col min="15" max="15" width="18" style="8" bestFit="1" customWidth="1"/>
    <col min="16" max="16384" width="11" style="8"/>
  </cols>
  <sheetData>
    <row r="1" spans="1:17" ht="25.15" customHeight="1" x14ac:dyDescent="0.35">
      <c r="A1" s="59" t="s">
        <v>64</v>
      </c>
      <c r="B1" s="60">
        <v>43830</v>
      </c>
      <c r="C1" s="61" t="s">
        <v>43</v>
      </c>
      <c r="D1" s="61" t="s">
        <v>44</v>
      </c>
      <c r="E1" s="61" t="s">
        <v>45</v>
      </c>
      <c r="F1" s="61" t="s">
        <v>46</v>
      </c>
      <c r="G1" s="61" t="s">
        <v>47</v>
      </c>
      <c r="H1" s="61" t="s">
        <v>48</v>
      </c>
      <c r="I1" s="61" t="s">
        <v>49</v>
      </c>
      <c r="J1" s="61" t="s">
        <v>50</v>
      </c>
      <c r="K1" s="61" t="s">
        <v>51</v>
      </c>
      <c r="L1" s="61" t="s">
        <v>52</v>
      </c>
      <c r="M1" s="61" t="s">
        <v>53</v>
      </c>
      <c r="N1" s="61" t="s">
        <v>54</v>
      </c>
      <c r="O1" s="60">
        <v>44196</v>
      </c>
      <c r="P1" s="9"/>
      <c r="Q1" s="9"/>
    </row>
    <row r="2" spans="1:17" ht="25.15" customHeight="1" x14ac:dyDescent="0.4">
      <c r="A2" s="62" t="s">
        <v>55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4">
        <f t="shared" ref="O2:O27" si="0">SUM(B2:N2)</f>
        <v>0</v>
      </c>
    </row>
    <row r="3" spans="1:17" ht="25.15" customHeight="1" x14ac:dyDescent="0.4">
      <c r="A3" s="65" t="s">
        <v>78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  <c r="M3" s="66"/>
      <c r="N3" s="66"/>
      <c r="O3" s="67">
        <f t="shared" si="0"/>
        <v>0</v>
      </c>
      <c r="P3" s="8" t="s">
        <v>85</v>
      </c>
    </row>
    <row r="4" spans="1:17" ht="25.15" customHeight="1" x14ac:dyDescent="0.4">
      <c r="A4" s="62" t="s">
        <v>66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  <c r="N4" s="63"/>
      <c r="O4" s="64">
        <f t="shared" si="0"/>
        <v>0</v>
      </c>
      <c r="P4" s="8" t="s">
        <v>85</v>
      </c>
    </row>
    <row r="5" spans="1:17" ht="25.15" customHeight="1" x14ac:dyDescent="0.4">
      <c r="A5" s="65" t="s">
        <v>60</v>
      </c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7">
        <f t="shared" si="0"/>
        <v>0</v>
      </c>
      <c r="P5" s="8" t="s">
        <v>85</v>
      </c>
    </row>
    <row r="6" spans="1:17" ht="25.15" customHeight="1" x14ac:dyDescent="0.4">
      <c r="A6" s="62" t="s">
        <v>12</v>
      </c>
      <c r="B6" s="63"/>
      <c r="C6" s="63"/>
      <c r="D6" s="63"/>
      <c r="E6" s="63"/>
      <c r="F6" s="63"/>
      <c r="G6" s="63"/>
      <c r="H6" s="63"/>
      <c r="I6" s="63"/>
      <c r="J6" s="63"/>
      <c r="K6" s="63"/>
      <c r="L6" s="63"/>
      <c r="M6" s="63"/>
      <c r="N6" s="63"/>
      <c r="O6" s="64">
        <f t="shared" si="0"/>
        <v>0</v>
      </c>
      <c r="P6" s="8" t="s">
        <v>85</v>
      </c>
    </row>
    <row r="7" spans="1:17" ht="25.15" customHeight="1" x14ac:dyDescent="0.4">
      <c r="A7" s="65" t="s">
        <v>63</v>
      </c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7">
        <f t="shared" si="0"/>
        <v>0</v>
      </c>
    </row>
    <row r="8" spans="1:17" ht="25.15" customHeight="1" x14ac:dyDescent="0.4">
      <c r="A8" s="62" t="s">
        <v>80</v>
      </c>
      <c r="B8" s="63"/>
      <c r="C8" s="63"/>
      <c r="D8" s="63"/>
      <c r="E8" s="63"/>
      <c r="F8" s="63"/>
      <c r="G8" s="63"/>
      <c r="H8" s="63"/>
      <c r="I8" s="63"/>
      <c r="J8" s="63"/>
      <c r="K8" s="63"/>
      <c r="L8" s="63"/>
      <c r="M8" s="63"/>
      <c r="N8" s="63"/>
      <c r="O8" s="64">
        <f t="shared" si="0"/>
        <v>0</v>
      </c>
      <c r="P8" s="8" t="s">
        <v>85</v>
      </c>
    </row>
    <row r="9" spans="1:17" ht="25.15" customHeight="1" x14ac:dyDescent="0.4">
      <c r="A9" s="65" t="s">
        <v>57</v>
      </c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7">
        <f t="shared" si="0"/>
        <v>0</v>
      </c>
    </row>
    <row r="10" spans="1:17" ht="25.15" customHeight="1" x14ac:dyDescent="0.4">
      <c r="A10" s="62" t="s">
        <v>67</v>
      </c>
      <c r="B10" s="63"/>
      <c r="C10" s="63"/>
      <c r="D10" s="63"/>
      <c r="E10" s="63"/>
      <c r="F10" s="63"/>
      <c r="G10" s="63"/>
      <c r="H10" s="63"/>
      <c r="I10" s="63"/>
      <c r="J10" s="63"/>
      <c r="K10" s="63"/>
      <c r="L10" s="63"/>
      <c r="M10" s="63"/>
      <c r="N10" s="63"/>
      <c r="O10" s="64">
        <f t="shared" si="0"/>
        <v>0</v>
      </c>
      <c r="P10" s="8" t="s">
        <v>85</v>
      </c>
    </row>
    <row r="11" spans="1:17" ht="25.15" customHeight="1" x14ac:dyDescent="0.4">
      <c r="A11" s="65" t="s">
        <v>61</v>
      </c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7">
        <f t="shared" si="0"/>
        <v>0</v>
      </c>
    </row>
    <row r="12" spans="1:17" ht="25.15" customHeight="1" x14ac:dyDescent="0.4">
      <c r="A12" s="62" t="s">
        <v>10</v>
      </c>
      <c r="B12" s="63"/>
      <c r="C12" s="63"/>
      <c r="D12" s="63"/>
      <c r="E12" s="63"/>
      <c r="F12" s="63"/>
      <c r="G12" s="63"/>
      <c r="H12" s="63"/>
      <c r="I12" s="63"/>
      <c r="J12" s="63"/>
      <c r="K12" s="63"/>
      <c r="L12" s="63"/>
      <c r="M12" s="63"/>
      <c r="N12" s="63"/>
      <c r="O12" s="64">
        <f t="shared" si="0"/>
        <v>0</v>
      </c>
      <c r="P12" s="8" t="s">
        <v>85</v>
      </c>
    </row>
    <row r="13" spans="1:17" ht="25.15" customHeight="1" x14ac:dyDescent="0.4">
      <c r="A13" s="65" t="s">
        <v>62</v>
      </c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7">
        <f t="shared" si="0"/>
        <v>0</v>
      </c>
    </row>
    <row r="14" spans="1:17" ht="25.15" customHeight="1" x14ac:dyDescent="0.4">
      <c r="A14" s="62" t="s">
        <v>84</v>
      </c>
      <c r="B14" s="63"/>
      <c r="C14" s="63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4">
        <f t="shared" si="0"/>
        <v>0</v>
      </c>
    </row>
    <row r="15" spans="1:17" ht="25.15" customHeight="1" x14ac:dyDescent="0.4">
      <c r="A15" s="65" t="s">
        <v>86</v>
      </c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7">
        <f t="shared" si="0"/>
        <v>0</v>
      </c>
    </row>
    <row r="16" spans="1:17" ht="25.15" customHeight="1" x14ac:dyDescent="0.4">
      <c r="A16" s="62" t="s">
        <v>77</v>
      </c>
      <c r="B16" s="63"/>
      <c r="C16" s="63"/>
      <c r="D16" s="63"/>
      <c r="E16" s="63"/>
      <c r="F16" s="63"/>
      <c r="G16" s="63"/>
      <c r="H16" s="63"/>
      <c r="I16" s="63"/>
      <c r="J16" s="63"/>
      <c r="K16" s="63"/>
      <c r="L16" s="63"/>
      <c r="M16" s="63"/>
      <c r="N16" s="63"/>
      <c r="O16" s="64">
        <f t="shared" si="0"/>
        <v>0</v>
      </c>
    </row>
    <row r="17" spans="1:16" ht="25.15" customHeight="1" x14ac:dyDescent="0.4">
      <c r="A17" s="65" t="s">
        <v>59</v>
      </c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7">
        <f t="shared" si="0"/>
        <v>0</v>
      </c>
      <c r="P17" s="8" t="s">
        <v>85</v>
      </c>
    </row>
    <row r="18" spans="1:16" ht="25.15" customHeight="1" x14ac:dyDescent="0.4">
      <c r="A18" s="62" t="s">
        <v>88</v>
      </c>
      <c r="B18" s="63"/>
      <c r="C18" s="63"/>
      <c r="D18" s="63"/>
      <c r="E18" s="63"/>
      <c r="F18" s="63"/>
      <c r="G18" s="63"/>
      <c r="H18" s="63"/>
      <c r="I18" s="63"/>
      <c r="J18" s="63"/>
      <c r="K18" s="63"/>
      <c r="L18" s="63"/>
      <c r="M18" s="63"/>
      <c r="N18" s="63"/>
      <c r="O18" s="64">
        <f t="shared" si="0"/>
        <v>0</v>
      </c>
    </row>
    <row r="19" spans="1:16" ht="25.15" customHeight="1" x14ac:dyDescent="0.4">
      <c r="A19" s="65" t="s">
        <v>65</v>
      </c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7">
        <f t="shared" si="0"/>
        <v>0</v>
      </c>
    </row>
    <row r="20" spans="1:16" ht="25.15" customHeight="1" x14ac:dyDescent="0.4">
      <c r="A20" s="62" t="s">
        <v>82</v>
      </c>
      <c r="B20" s="63"/>
      <c r="C20" s="63"/>
      <c r="D20" s="63"/>
      <c r="E20" s="63"/>
      <c r="F20" s="63"/>
      <c r="G20" s="63"/>
      <c r="H20" s="63"/>
      <c r="I20" s="63"/>
      <c r="J20" s="63"/>
      <c r="K20" s="63"/>
      <c r="L20" s="63"/>
      <c r="M20" s="63"/>
      <c r="N20" s="63"/>
      <c r="O20" s="64">
        <f t="shared" si="0"/>
        <v>0</v>
      </c>
      <c r="P20" s="8" t="s">
        <v>85</v>
      </c>
    </row>
    <row r="21" spans="1:16" ht="25.15" customHeight="1" x14ac:dyDescent="0.4">
      <c r="A21" s="65" t="s">
        <v>75</v>
      </c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7">
        <f t="shared" si="0"/>
        <v>0</v>
      </c>
      <c r="P21" s="8" t="s">
        <v>85</v>
      </c>
    </row>
    <row r="22" spans="1:16" ht="25.15" customHeight="1" x14ac:dyDescent="0.4">
      <c r="A22" s="62" t="s">
        <v>83</v>
      </c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4">
        <f t="shared" si="0"/>
        <v>0</v>
      </c>
    </row>
    <row r="23" spans="1:16" ht="25.15" customHeight="1" x14ac:dyDescent="0.4">
      <c r="A23" s="65" t="s">
        <v>56</v>
      </c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7">
        <f t="shared" si="0"/>
        <v>0</v>
      </c>
    </row>
    <row r="24" spans="1:16" ht="25.15" customHeight="1" x14ac:dyDescent="0.4">
      <c r="A24" s="62" t="s">
        <v>76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4">
        <f t="shared" si="0"/>
        <v>0</v>
      </c>
      <c r="P24" s="8" t="s">
        <v>85</v>
      </c>
    </row>
    <row r="25" spans="1:16" ht="25.15" customHeight="1" x14ac:dyDescent="0.4">
      <c r="A25" s="65" t="s">
        <v>79</v>
      </c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7">
        <f t="shared" si="0"/>
        <v>0</v>
      </c>
      <c r="P25" s="8" t="s">
        <v>85</v>
      </c>
    </row>
    <row r="26" spans="1:16" ht="25.15" customHeight="1" x14ac:dyDescent="0.4">
      <c r="A26" s="62" t="s">
        <v>68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  <c r="L26" s="63"/>
      <c r="M26" s="63"/>
      <c r="N26" s="63"/>
      <c r="O26" s="64">
        <f t="shared" si="0"/>
        <v>0</v>
      </c>
    </row>
    <row r="27" spans="1:16" ht="25.15" customHeight="1" x14ac:dyDescent="0.4">
      <c r="A27" s="65" t="s">
        <v>81</v>
      </c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7">
        <f t="shared" si="0"/>
        <v>0</v>
      </c>
      <c r="P27" s="8" t="s">
        <v>85</v>
      </c>
    </row>
    <row r="28" spans="1:16" ht="25.15" customHeight="1" x14ac:dyDescent="0.4">
      <c r="A28" s="62" t="s">
        <v>13</v>
      </c>
      <c r="B28" s="63"/>
      <c r="C28" s="63"/>
      <c r="D28" s="63"/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4">
        <f>SUM(B28:N28)</f>
        <v>0</v>
      </c>
    </row>
    <row r="29" spans="1:16" ht="25.15" customHeight="1" x14ac:dyDescent="0.4">
      <c r="A29" s="65" t="s">
        <v>87</v>
      </c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7">
        <f>SUM(B29:N29)</f>
        <v>0</v>
      </c>
    </row>
    <row r="30" spans="1:16" ht="25.15" customHeight="1" x14ac:dyDescent="0.4">
      <c r="A30" s="62" t="s">
        <v>11</v>
      </c>
      <c r="B30" s="63"/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4">
        <f>SUM(B30:N30)</f>
        <v>0</v>
      </c>
      <c r="P30" s="8" t="s">
        <v>85</v>
      </c>
    </row>
    <row r="31" spans="1:16" ht="25.15" customHeight="1" x14ac:dyDescent="0.4">
      <c r="A31" s="65" t="s">
        <v>58</v>
      </c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7">
        <f>SUM(B31:N31)</f>
        <v>0</v>
      </c>
    </row>
    <row r="32" spans="1:16" x14ac:dyDescent="0.35">
      <c r="A32" s="28"/>
    </row>
    <row r="33" spans="1:1" x14ac:dyDescent="0.35">
      <c r="A33" s="28"/>
    </row>
    <row r="34" spans="1:1" x14ac:dyDescent="0.35">
      <c r="A34" s="28"/>
    </row>
    <row r="35" spans="1:1" x14ac:dyDescent="0.35">
      <c r="A35" s="28"/>
    </row>
  </sheetData>
  <autoFilter ref="A1:O1" xr:uid="{2BF89D49-C28D-CA4A-9126-46BFB0D3F547}">
    <sortState xmlns:xlrd2="http://schemas.microsoft.com/office/spreadsheetml/2017/richdata2" ref="A2:O14">
      <sortCondition ref="A1:A14"/>
    </sortState>
  </autoFilter>
  <phoneticPr fontId="22" type="noConversion"/>
  <conditionalFormatting sqref="B2:O31">
    <cfRule type="cellIs" dxfId="3" priority="3" operator="lessThan">
      <formula>0</formula>
    </cfRule>
  </conditionalFormatting>
  <conditionalFormatting sqref="C2:O31">
    <cfRule type="cellIs" dxfId="2" priority="4" operator="greaterThan">
      <formula>0</formula>
    </cfRule>
  </conditionalFormatting>
  <conditionalFormatting sqref="D4">
    <cfRule type="cellIs" dxfId="1" priority="2" operator="greaterThan">
      <formula>0</formula>
    </cfRule>
  </conditionalFormatting>
  <conditionalFormatting sqref="P2:P55">
    <cfRule type="cellIs" dxfId="0" priority="5" operator="equal">
      <formula>"NÃO"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4" ma:contentTypeDescription="Create a new document." ma:contentTypeScope="" ma:versionID="2d714a3296df14eba7a100bb665443ca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49549bf45bfbbfb6cffed527380e77e1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7C5DBCFF-B01D-443B-958D-5BBBD3E2EAE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9CB1A22-CE44-4532-A0DB-84194B783B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3F0F1A-F818-48F9-BE67-B9DBEFF91A62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TM04035489</Templat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</vt:i4>
      </vt:variant>
    </vt:vector>
  </HeadingPairs>
  <TitlesOfParts>
    <vt:vector size="18" baseType="lpstr">
      <vt:lpstr>VALORES MENSAIS</vt:lpstr>
      <vt:lpstr>MOVIMENTACOES MENSAIS</vt:lpstr>
      <vt:lpstr>HORA VERDADE</vt:lpstr>
      <vt:lpstr>Feuil2</vt:lpstr>
      <vt:lpstr>GRAFICO HV</vt:lpstr>
      <vt:lpstr>VARIACAO PATRIMONIAL</vt:lpstr>
      <vt:lpstr>BTG CDB PLUS</vt:lpstr>
      <vt:lpstr>HISTORICO </vt:lpstr>
      <vt:lpstr>HISTORICO APLICACOES</vt:lpstr>
      <vt:lpstr>DADOS FORMULARIO</vt:lpstr>
      <vt:lpstr>DISTRIBUICAO_MERCADOS</vt:lpstr>
      <vt:lpstr>DISTRIBUICAO_MODALIDADES</vt:lpstr>
      <vt:lpstr>VENCIMENTOS</vt:lpstr>
      <vt:lpstr>NOTAS CORRETAGEM</vt:lpstr>
      <vt:lpstr>MOVIMENTACAO_ACOES</vt:lpstr>
      <vt:lpstr>'HISTORICO '!DataReferencia</vt:lpstr>
      <vt:lpstr>'HISTORICO APLICACOES'!DataReferencia</vt:lpstr>
      <vt:lpstr>DataReferencia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RICARDO DIAS MARTINS DE CARVALHO</cp:lastModifiedBy>
  <dcterms:created xsi:type="dcterms:W3CDTF">2022-02-14T06:36:37Z</dcterms:created>
  <dcterms:modified xsi:type="dcterms:W3CDTF">2024-02-12T19:44:47Z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